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579fef6dde3422f" /></Relationships>
</file>

<file path=xl/workbook.xml><?xml version="1.0" encoding="utf-8"?>
<x:workbook xmlns:x="http://schemas.openxmlformats.org/spreadsheetml/2006/main">
  <x:sheets>
    <x:sheet xmlns:r="http://schemas.openxmlformats.org/officeDocument/2006/relationships" name="Read me" sheetId="1" r:id="R015e8a65d5854e98"/>
    <x:sheet xmlns:r="http://schemas.openxmlformats.org/officeDocument/2006/relationships" name="Category examples" sheetId="2" r:id="Rfaa950569a114bfb"/>
    <x:sheet xmlns:r="http://schemas.openxmlformats.org/officeDocument/2006/relationships" name="Error examples" sheetId="3" r:id="Ra4274e6e527246a5"/>
    <x:sheet xmlns:r="http://schemas.openxmlformats.org/officeDocument/2006/relationships" name="Definitions" sheetId="4" r:id="R3b3ca12c8436474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20"/>
      <x:color rgb="FFFFFFFF"/>
      <x:name val="Carlito"/>
    </x:font>
    <x:font>
      <x:sz val="11"/>
      <x:color rgb="FF5D6674"/>
      <x:name val="Carlito"/>
    </x:font>
    <x:font>
      <x:b/>
      <x:sz val="11"/>
      <x:color rgb="FFFFFFFF"/>
      <x:name val="Carlito"/>
    </x:font>
    <x:font>
      <x:b/>
      <x:sz val="11"/>
      <x:color rgb="FF202633"/>
      <x:name val="Carlito"/>
    </x:font>
    <x:font>
      <x:sz val="9"/>
      <x:color rgb="FF5D6674"/>
      <x:name val="Aptos Mono"/>
    </x:font>
    <x:font>
      <x:b/>
      <x:sz val="18"/>
      <x:color rgb="FFFFFFFF"/>
      <x:name val="Carlito"/>
    </x:font>
  </x:fonts>
  <x:fills count="9">
    <x:fill>
      <x:patternFill patternType="none"/>
    </x:fill>
    <x:fill>
      <x:patternFill patternType="gray125"/>
    </x:fill>
    <x:fill>
      <x:patternFill patternType="solid">
        <x:fgColor rgb="FF202633"/>
      </x:patternFill>
    </x:fill>
    <x:fill>
      <x:patternFill patternType="solid">
        <x:fgColor rgb="FF246EA3"/>
      </x:patternFill>
    </x:fill>
    <x:fill>
      <x:patternFill patternType="solid">
        <x:fgColor rgb="FF3D7A4C"/>
      </x:patternFill>
    </x:fill>
    <x:fill>
      <x:patternFill patternType="solid">
        <x:fgColor rgb="FFEBF5ED"/>
      </x:patternFill>
    </x:fill>
    <x:fill>
      <x:patternFill patternType="solid">
        <x:fgColor rgb="FFB84A3A"/>
      </x:patternFill>
    </x:fill>
    <x:fill>
      <x:patternFill patternType="solid">
        <x:fgColor rgb="FFFBEDEA"/>
      </x:patternFill>
    </x:fill>
    <x:fill>
      <x:patternFill patternType="solid">
        <x:fgColor rgb="FFF3F5F7"/>
      </x:patternFill>
    </x:fill>
  </x:fills>
  <x:borders count="2">
    <x:border/>
    <x:border>
      <x:bottom/>
    </x:border>
  </x:borders>
  <x:cellStyleXfs count="1">
    <x:xf numFmtId="0" fontId="0" fillId="0" borderId="0"/>
  </x:cellStyleXfs>
  <x:cellXfs count="4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0" fillId="0" borderId="0" xfId="0" applyNumberFormat="1" applyFont="1" applyFill="1" applyBorder="1"/>
    <x:xf numFmtId="0" fontId="0" fillId="0"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200" fontId="4" fillId="0" borderId="0" xfId="0" applyNumberFormat="1" applyFont="1" applyFill="1" applyBorder="1"/>
    <x:xf numFmtId="200" fontId="4" fillId="0" borderId="1" xfId="0" applyNumberFormat="1" applyFont="1" applyFill="1" applyBorder="1"/>
    <x:xf numFmtId="200" fontId="4" fillId="0" borderId="0" xfId="0" applyNumberFormat="1" applyFont="1" applyFill="1" applyBorder="1" applyAlignment="1">
      <x:alignment horizontal="right"/>
    </x:xf>
    <x:xf numFmtId="200" fontId="4" fillId="0" borderId="1" xfId="0" applyNumberFormat="1" applyFont="1" applyFill="1" applyBorder="1" applyAlignment="1">
      <x:alignment horizontal="right"/>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vertical="top" wrapText="1"/>
    </x:xf>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vertical="top"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top"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6" fillId="2"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dxfs count="9">
    <x:dxf>
      <x:font>
        <x:color rgb="FFB84A3A"/>
      </x:font>
      <x:fill>
        <x:patternFill patternType="solid">
          <x:bgColor rgb="FFFBEDEA"/>
        </x:patternFill>
      </x:fill>
    </x:dxf>
    <x:dxf>
      <x:font>
        <x:color rgb="FFB84A3A"/>
      </x:font>
      <x:fill>
        <x:patternFill patternType="solid">
          <x:bgColor rgb="FFFBEDEA"/>
        </x:patternFill>
      </x:fill>
    </x:dxf>
    <x:dxf>
      <x:font>
        <x:color rgb="FFB84A3A"/>
      </x:font>
      <x:fill>
        <x:patternFill patternType="solid">
          <x:bgColor rgb="FFFBEDEA"/>
        </x:patternFill>
      </x:fill>
    </x:dxf>
    <x:dxf>
      <x:font>
        <x:color rgb="FF3D7A4C"/>
      </x:font>
      <x:fill>
        <x:patternFill patternType="solid">
          <x:bgColor rgb="FFEBF5ED"/>
        </x:patternFill>
      </x:fill>
    </x:dxf>
    <x:dxf>
      <x:font>
        <x:color rgb="FF3D7A4C"/>
      </x:font>
      <x:fill>
        <x:patternFill patternType="solid">
          <x:bgColor rgb="FFEBF5ED"/>
        </x:patternFill>
      </x:fill>
    </x:dxf>
    <x:dxf>
      <x:font>
        <x:color rgb="FF3D7A4C"/>
      </x:font>
      <x:fill>
        <x:patternFill patternType="solid">
          <x:bgColor rgb="FFEBF5ED"/>
        </x:patternFill>
      </x:fill>
    </x:dxf>
    <x:dxf>
      <x:font>
        <x:color rgb="FF3D7A4C"/>
      </x:font>
      <x:fill>
        <x:patternFill patternType="solid">
          <x:bgColor rgb="FFEBF5ED"/>
        </x:patternFill>
      </x:fill>
    </x:dxf>
    <x:dxf>
      <x:font>
        <x:color rgb="FFB84A3A"/>
      </x:font>
      <x:fill>
        <x:patternFill patternType="solid">
          <x:bgColor rgb="FFFBEDEA"/>
        </x:patternFill>
      </x:fill>
    </x:dxf>
    <x:dxf>
      <x:font>
        <x:color rgb="FF246EA3"/>
      </x:font>
      <x:fill>
        <x:patternFill patternType="solid">
          <x:bgColor rgb="FFEAF3F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80868acbaa4358" /><Relationship Type="http://schemas.openxmlformats.org/officeDocument/2006/relationships/theme" Target="/xl/theme/theme1.xml" Id="R956c376935f34845" /><Relationship Type="http://schemas.openxmlformats.org/officeDocument/2006/relationships/sharedStrings" Target="/xl/sharedStrings.xml" Id="R6946d7a1b7e94204" /><Relationship Type="http://schemas.openxmlformats.org/officeDocument/2006/relationships/worksheet" Target="/xl/worksheets/sheet1.xml" Id="R015e8a65d5854e98" /><Relationship Type="http://schemas.openxmlformats.org/officeDocument/2006/relationships/worksheet" Target="/xl/worksheets/sheet2.xml" Id="Rfaa950569a114bfb" /><Relationship Type="http://schemas.openxmlformats.org/officeDocument/2006/relationships/worksheet" Target="/xl/worksheets/sheet3.xml" Id="Ra4274e6e527246a5" /><Relationship Type="http://schemas.openxmlformats.org/officeDocument/2006/relationships/worksheet" Target="/xl/worksheets/sheet4.xml" Id="R3b3ca12c84364741" /></Relationships>
</file>

<file path=xl/tables/table1.xml><?xml version="1.0" encoding="utf-8"?>
<x:table xmlns:x="http://schemas.openxmlformats.org/spreadsheetml/2006/main" id="1" name="CategoryExamples" displayName="CategoryExamples" ref="A1:N26" headerRowCount="1" totalsRowCount="0" totalsRowShown="0">
  <x:tableColumns count="14">
    <x:tableColumn id="1" name="Task"/>
    <x:tableColumn id="2" name="Family"/>
    <x:tableColumn id="3" name="Category"/>
    <x:tableColumn id="4" name="Row ID"/>
    <x:tableColumn id="5" name="Gold"/>
    <x:tableColumn id="6" name="Rules output"/>
    <x:tableColumn id="7" name="Rules status"/>
    <x:tableColumn id="8" name="LLM output"/>
    <x:tableColumn id="9" name="LLM status"/>
    <x:tableColumn id="10" name="Hybrid output"/>
    <x:tableColumn id="11" name="Hybrid status"/>
    <x:tableColumn id="12" name="Source excerpt"/>
    <x:tableColumn id="13" name="Report owner"/>
    <x:tableColumn id="14" name="Artifact owner"/>
  </x:tableColumns>
  <x:tableStyleInfo name="TableStyleMedium2" showFirstColumn="0" showLastColumn="0" showRowStripes="1" showColumnStripes="0"/>
</x:table>
</file>

<file path=xl/tables/table2.xml><?xml version="1.0" encoding="utf-8"?>
<x:table xmlns:x="http://schemas.openxmlformats.org/spreadsheetml/2006/main" id="2" name="ErrorExamples" displayName="ErrorExamples" ref="A1:P82" headerRowCount="1" totalsRowCount="0" totalsRowShown="0">
  <x:tableColumns count="16">
    <x:tableColumn id="1" name="Task"/>
    <x:tableColumn id="2" name="Slice"/>
    <x:tableColumn id="3" name="Surface"/>
    <x:tableColumn id="4" name="Classification level"/>
    <x:tableColumn id="5" name="Error mode"/>
    <x:tableColumn id="6" name="Row ID"/>
    <x:tableColumn id="7" name="Model"/>
    <x:tableColumn id="8" name="Gold"/>
    <x:tableColumn id="9" name="Prediction"/>
    <x:tableColumn id="10" name="Hybrid final"/>
    <x:tableColumn id="11" name="Hybrid outcome"/>
    <x:tableColumn id="12" name="Evidence or predicted mentions"/>
    <x:tableColumn id="13" name="Consensus flag"/>
    <x:tableColumn id="14" name="Near miss"/>
    <x:tableColumn id="15" name="Report owner"/>
    <x:tableColumn id="16" name="Artifact owner"/>
  </x:tableColumns>
  <x:tableStyleInfo name="TableStyleMedium4" showFirstColumn="0" showLastColumn="0" showRowStripes="1" showColumnStripes="0"/>
</x:table>
</file>

<file path=xl/tables/table3.xml><?xml version="1.0" encoding="utf-8"?>
<x:table xmlns:x="http://schemas.openxmlformats.org/spreadsheetml/2006/main" id="3" name="DefinitionsTable" displayName="DefinitionsTable" ref="A3:D10" headerRowCount="1" totalsRowCount="0" totalsRowShown="0">
  <x:tableColumns count="4">
    <x:tableColumn id="1" name="Term"/>
    <x:tableColumn id="2" name="Meaning"/>
    <x:tableColumn id="3" name="Use"/>
    <x:tableColumn id="4" name="Own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32a3a38083e4aa1" /></Relationships>
</file>

<file path=xl/worksheets/_rels/sheet3.xml.rels>&#65279;<?xml version="1.0" encoding="utf-8"?><Relationships xmlns="http://schemas.openxmlformats.org/package/2006/relationships"><Relationship Type="http://schemas.openxmlformats.org/officeDocument/2006/relationships/table" Target="/xl/tables/table2.xml" Id="R52032269c936407b" /></Relationships>
</file>

<file path=xl/worksheets/_rels/sheet4.xml.rels>&#65279;<?xml version="1.0" encoding="utf-8"?><Relationships xmlns="http://schemas.openxmlformats.org/package/2006/relationships"><Relationship Type="http://schemas.openxmlformats.org/officeDocument/2006/relationships/table" Target="/xl/tables/table3.xml" Id="R644fbdbd04374311"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5" hidden="0" customWidth="1"/>
    <x:col min="3" max="3" width="15" hidden="0" customWidth="1"/>
    <x:col min="4" max="4" width="14" hidden="0" customWidth="1"/>
    <x:col min="5" max="5" width="14" hidden="0" customWidth="1"/>
    <x:col min="6" max="6" width="14" hidden="0" customWidth="1"/>
    <x:col min="7" max="7" width="14" hidden="0" customWidth="1"/>
    <x:col min="8" max="8" width="14" hidden="0" customWidth="1"/>
  </x:cols>
  <x:sheetData>
    <x:row r="1" ht="36" customHeight="1">
      <x:c r="A1" s="3" t="str">
        <x:v>Representative row evidence</x:v>
      </x:c>
      <x:c r="B1" s="3"/>
      <x:c r="C1" s="3"/>
      <x:c r="D1" s="3"/>
      <x:c r="E1" s="3"/>
      <x:c r="F1" s="3"/>
      <x:c r="G1" s="3"/>
      <x:c r="H1" s="3"/>
    </x:row>
    <x:row r="3">
      <x:c r="A3" s="5" t="str">
        <x:v>Purpose: inspect selected development examples without turning long Markdown reports into row ledgers.</x:v>
      </x:c>
      <x:c r="B3" s="5"/>
      <x:c r="C3" s="5"/>
      <x:c r="D3" s="5"/>
      <x:c r="E3" s="5"/>
      <x:c r="F3" s="5"/>
      <x:c r="G3" s="5"/>
      <x:c r="H3" s="5"/>
    </x:row>
    <x:row r="5">
      <x:c r="A5" s="7" t="str">
        <x:v>Inventory</x:v>
      </x:c>
      <x:c r="B5" s="7" t="str">
        <x:v>Rows</x:v>
      </x:c>
      <x:c r="D5" s="17" t="str">
        <x:v>How to use this workbook</x:v>
      </x:c>
      <x:c r="E5" s="17"/>
      <x:c r="F5" s="17"/>
      <x:c r="G5" s="17"/>
      <x:c r="H5" s="17"/>
    </x:row>
    <x:row r="6">
      <x:c r="A6" s="8" t="str">
        <x:v>Category examples</x:v>
      </x:c>
      <x:c r="B6" s="14" t="n">
        <x:f>COUNTA('Category examples'!$A$2:$A$26)</x:f>
        <x:v>25</x:v>
      </x:c>
      <x:c r="D6" s="21" t="str">
        <x:v>Filter Category examples by task, family, category, or method status. Filter Error examples by slice, surface, classification level, error mode, or consensus flag. Each row links back to the report and machine-readable artifact that owns it.</x:v>
      </x:c>
      <x:c r="E6" s="21"/>
      <x:c r="F6" s="21"/>
      <x:c r="G6" s="21"/>
      <x:c r="H6" s="21"/>
    </x:row>
    <x:row r="7">
      <x:c r="A7" s="8" t="str">
        <x:v>Error examples</x:v>
      </x:c>
      <x:c r="B7" s="14" t="n">
        <x:f>COUNTA('Error examples'!$A$2:$A$82)</x:f>
        <x:v>81</x:v>
      </x:c>
      <x:c r="D7" s="21"/>
      <x:c r="E7" s="21"/>
      <x:c r="F7" s="21"/>
      <x:c r="G7" s="21"/>
      <x:c r="H7" s="21"/>
    </x:row>
    <x:row r="8">
      <x:c r="A8" s="8" t="str">
        <x:v>Gan error examples</x:v>
      </x:c>
      <x:c r="B8" s="14" t="n">
        <x:f>COUNTIF('Error examples'!$A$2:$A$82,"Gan 2026")</x:f>
        <x:v>61</x:v>
      </x:c>
      <x:c r="D8" s="21"/>
      <x:c r="E8" s="21"/>
      <x:c r="F8" s="21"/>
      <x:c r="G8" s="21"/>
      <x:c r="H8" s="21"/>
    </x:row>
    <x:row r="9">
      <x:c r="A9" s="8" t="str">
        <x:v>ExECT error examples</x:v>
      </x:c>
      <x:c r="B9" s="14" t="n">
        <x:f>COUNTIF('Error examples'!$A$2:$A$82,"ExECTv2")</x:f>
        <x:v>20</x:v>
      </x:c>
      <x:c r="D9" s="21"/>
      <x:c r="E9" s="21"/>
      <x:c r="F9" s="21"/>
      <x:c r="G9" s="21"/>
      <x:c r="H9" s="21"/>
    </x:row>
    <x:row r="10">
      <x:c r="A10" s="9" t="str">
        <x:v>All-six consensus examples</x:v>
      </x:c>
      <x:c r="B10" s="15" t="n">
        <x:f>COUNTIF('Error examples'!$M$2:$M$82,"all six")</x:f>
        <x:v>71</x:v>
      </x:c>
      <x:c r="D10" s="21"/>
      <x:c r="E10" s="21"/>
      <x:c r="F10" s="21"/>
      <x:c r="G10" s="21"/>
      <x:c r="H10" s="21"/>
    </x:row>
    <x:row r="12">
      <x:c r="A12" s="23" t="str">
        <x:v>Boundary</x:v>
      </x:c>
      <x:c r="B12" s="23"/>
      <x:c r="C12" s="23"/>
      <x:c r="D12" s="23"/>
      <x:c r="E12" s="23"/>
      <x:c r="F12" s="23"/>
      <x:c r="G12" s="23"/>
      <x:c r="H12" s="23"/>
    </x:row>
    <x:row r="13">
      <x:c r="A13" s="27" t="str">
        <x:v>These are purposively selected development examples. Row counts describe this workbook, not error prevalence. The cases do not establish holdout behaviour, clinical truth, or clinical validation. Gan examples include synthetic development text; ExECT examples use retained development letters under the repository's existing access rules.</x:v>
      </x:c>
      <x:c r="B13" s="27"/>
      <x:c r="C13" s="27"/>
      <x:c r="D13" s="27"/>
      <x:c r="E13" s="27"/>
      <x:c r="F13" s="27"/>
      <x:c r="G13" s="27"/>
      <x:c r="H13" s="27"/>
    </x:row>
    <x:row r="14">
      <x:c r="A14" s="27"/>
      <x:c r="B14" s="27"/>
      <x:c r="C14" s="27"/>
      <x:c r="D14" s="27"/>
      <x:c r="E14" s="27"/>
      <x:c r="F14" s="27"/>
      <x:c r="G14" s="27"/>
      <x:c r="H14" s="27"/>
    </x:row>
    <x:row r="15">
      <x:c r="A15" s="27"/>
      <x:c r="B15" s="27"/>
      <x:c r="C15" s="27"/>
      <x:c r="D15" s="27"/>
      <x:c r="E15" s="27"/>
      <x:c r="F15" s="27"/>
      <x:c r="G15" s="27"/>
      <x:c r="H15" s="27"/>
    </x:row>
    <x:row r="16">
      <x:c r="A16" s="27"/>
      <x:c r="B16" s="27"/>
      <x:c r="C16" s="27"/>
      <x:c r="D16" s="27"/>
      <x:c r="E16" s="27"/>
      <x:c r="F16" s="27"/>
      <x:c r="G16" s="27"/>
      <x:c r="H16" s="27"/>
    </x:row>
    <x:row r="18">
      <x:c r="A18" s="31" t="str">
        <x:v>Primary sources
experiments/category_cut_representative_examples_20260808.json
experiments/six_model_hard_slice_error_mode_examples_20260806.json</x:v>
      </x:c>
      <x:c r="B18" s="31"/>
      <x:c r="C18" s="31"/>
      <x:c r="D18" s="31"/>
      <x:c r="E18" s="31"/>
      <x:c r="F18" s="31"/>
      <x:c r="G18" s="31"/>
      <x:c r="H18" s="31"/>
    </x:row>
    <x:row r="19">
      <x:c r="A19" s="31"/>
      <x:c r="B19" s="31"/>
      <x:c r="C19" s="31"/>
      <x:c r="D19" s="31"/>
      <x:c r="E19" s="31"/>
      <x:c r="F19" s="31"/>
      <x:c r="G19" s="31"/>
      <x:c r="H19" s="31"/>
    </x:row>
    <x:row r="20">
      <x:c r="A20" s="31"/>
      <x:c r="B20" s="31"/>
      <x:c r="C20" s="31"/>
      <x:c r="D20" s="31"/>
      <x:c r="E20" s="31"/>
      <x:c r="F20" s="31"/>
      <x:c r="G20" s="31"/>
      <x:c r="H20" s="31"/>
    </x:row>
  </x:sheetData>
  <x:mergeCells>
    <x:mergeCell ref="A1:H1"/>
    <x:mergeCell ref="A3:H3"/>
    <x:mergeCell ref="D5:H5"/>
    <x:mergeCell ref="D6:H10"/>
    <x:mergeCell ref="A12:H12"/>
    <x:mergeCell ref="A13:H16"/>
    <x:mergeCell ref="A18: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25" hidden="0" customWidth="1"/>
    <x:col min="4" max="4" width="12" hidden="0" customWidth="1"/>
    <x:col min="5" max="5" width="35" hidden="0" customWidth="1"/>
    <x:col min="6" max="6" width="34" hidden="0" customWidth="1"/>
    <x:col min="8" max="8" width="34" hidden="0" customWidth="1"/>
    <x:col min="10" max="10" width="34" hidden="0" customWidth="1"/>
    <x:col min="7" max="7" width="13" hidden="0" customWidth="1"/>
    <x:col min="9" max="9" width="13" hidden="0" customWidth="1"/>
    <x:col min="11" max="11" width="13" hidden="0" customWidth="1"/>
    <x:col min="12" max="12" width="72" hidden="0" customWidth="1"/>
    <x:col min="13" max="13" width="54" hidden="0" customWidth="1"/>
    <x:col min="14" max="14" width="54" hidden="0" customWidth="1"/>
  </x:cols>
  <x:sheetData>
    <x:row r="1">
      <x:c r="A1" s="33" t="str">
        <x:v>Task</x:v>
      </x:c>
      <x:c r="B1" s="33" t="str">
        <x:v>Family</x:v>
      </x:c>
      <x:c r="C1" s="33" t="str">
        <x:v>Category</x:v>
      </x:c>
      <x:c r="D1" s="33" t="str">
        <x:v>Row ID</x:v>
      </x:c>
      <x:c r="E1" s="33" t="str">
        <x:v>Gold</x:v>
      </x:c>
      <x:c r="F1" s="33" t="str">
        <x:v>Rules output</x:v>
      </x:c>
      <x:c r="G1" s="33" t="str">
        <x:v>Rules status</x:v>
      </x:c>
      <x:c r="H1" s="33" t="str">
        <x:v>LLM output</x:v>
      </x:c>
      <x:c r="I1" s="33" t="str">
        <x:v>LLM status</x:v>
      </x:c>
      <x:c r="J1" s="33" t="str">
        <x:v>Hybrid output</x:v>
      </x:c>
      <x:c r="K1" s="33" t="str">
        <x:v>Hybrid status</x:v>
      </x:c>
      <x:c r="L1" s="33" t="str">
        <x:v>Source excerpt</x:v>
      </x:c>
      <x:c r="M1" s="33" t="str">
        <x:v>Report owner</x:v>
      </x:c>
      <x:c r="N1" s="33" t="str">
        <x:v>Artifact owner</x:v>
      </x:c>
    </x:row>
    <x:row r="2" ht="72" customHeight="1">
      <x:c r="A2" s="34" t="str">
        <x:v>Gan 2026</x:v>
      </x:c>
      <x:c r="B2" s="34" t="str">
        <x:v>Seizure frequency</x:v>
      </x:c>
      <x:c r="C2" s="34" t="str">
        <x:v>ordinary_point_rate</x:v>
      </x:c>
      <x:c r="D2" s="34" t="str">
        <x:v>4026</x:v>
      </x:c>
      <x:c r="E2" s="35" t="str">
        <x:v>1 per month</x:v>
      </x:c>
      <x:c r="F2" s="35" t="str">
        <x:v>1 per month</x:v>
      </x:c>
      <x:c r="G2" s="35" t="str">
        <x:v>match</x:v>
      </x:c>
      <x:c r="H2" s="35" t="str">
        <x:v>1 per month</x:v>
      </x:c>
      <x:c r="I2" s="35" t="str">
        <x:v>match</x:v>
      </x:c>
      <x:c r="J2" s="35" t="str">
        <x:v>1 per month</x:v>
      </x:c>
      <x:c r="K2" s="35" t="str">
        <x:v>match</x:v>
      </x:c>
      <x:c r="L2" s="35" t="str">
        <x:v>…downward trend, with only a single brief spell in the most recent calendar month and none reported so far this month. The patient reports better sleep hygiene and consistent dosing times, which coincide with the reduction in events. Present Seizure Frequency: Now down to roughly one brief absence episode in a typical month, with some months entirely event-free. Plan of Action: - Continue lamotrigine 100 mg twice daily without change. - Keep clobazam as an intermittent option for clusters, although none have occurred recently. - Maintain daily seizure diary entries and reminder prompts, as this appears to be a key factor in the recent improvement. - Safety advice reiterated; patient understands driving restrictions and when to seek urgent help. - Arrange follow-up in four m…</x:v>
      </x:c>
      <x:c r="M2" s="35" t="str">
        <x:v>docs/research/gan2026_category_cut_representative_examples_2026-08-08.md</x:v>
      </x:c>
      <x:c r="N2" s="35" t="str">
        <x:v>experiments/category_cut_representative_examples_20260808.json</x:v>
      </x:c>
    </x:row>
    <x:row r="3" ht="72" customHeight="1">
      <x:c r="A3" s="34" t="str">
        <x:v>Gan 2026</x:v>
      </x:c>
      <x:c r="B3" s="34" t="str">
        <x:v>Seizure frequency</x:v>
      </x:c>
      <x:c r="C3" s="34" t="str">
        <x:v>ordinary_point_rate</x:v>
      </x:c>
      <x:c r="D3" s="34" t="str">
        <x:v>4402</x:v>
      </x:c>
      <x:c r="E3" s="35" t="str">
        <x:v>7 per 7 month</x:v>
      </x:c>
      <x:c r="F3" s="35" t="str">
        <x:v>7 per 7 month</x:v>
      </x:c>
      <x:c r="G3" s="35" t="str">
        <x:v>match</x:v>
      </x:c>
      <x:c r="H3" s="35" t="str">
        <x:v>3 per 3 month</x:v>
      </x:c>
      <x:c r="I3" s="35" t="str">
        <x:v>match</x:v>
      </x:c>
      <x:c r="J3" s="35" t="str">
        <x:v>7 per 7 month</x:v>
      </x:c>
      <x:c r="K3" s="35" t="str">
        <x:v>match</x:v>
      </x:c>
      <x:c r="L3" s="35" t="str">
        <x:v>…as improved consistency, and his partner has visibility of adherence via the shared app. There have been no adverse effects reported from medication and no new neurological symptoms. Seizure record (patient-reported and cross-checked with his app timestamps): Seizure: 2022: Jan x1, Feb x0, Mar x1, Apr x2, May x1, Jun x1, Jul x1. He notes typical events are brief with preserved awareness at onset, a déjà vu sensation, metallic taste, and occasional right-hand fumbling; duration under two minutes, followed by mild fatigue. No injuries, no emergency attendances. There is no clear photic sensitivity. Sleep disruption and missed doses were the most consistent antecedents before the alarm/NFC system was introduced. Medication: Levetiracetam 1 g t…</x:v>
      </x:c>
      <x:c r="M3" s="35" t="str">
        <x:v>docs/research/gan2026_category_cut_representative_examples_2026-08-08.md</x:v>
      </x:c>
      <x:c r="N3" s="35" t="str">
        <x:v>experiments/category_cut_representative_examples_20260808.json</x:v>
      </x:c>
    </x:row>
    <x:row r="4" ht="72" customHeight="1">
      <x:c r="A4" s="34" t="str">
        <x:v>Gan 2026</x:v>
      </x:c>
      <x:c r="B4" s="34" t="str">
        <x:v>Seizure frequency</x:v>
      </x:c>
      <x:c r="C4" s="34" t="str">
        <x:v>cluster_burden</x:v>
      </x:c>
      <x:c r="D4" s="34" t="str">
        <x:v>15431</x:v>
      </x:c>
      <x:c r="E4" s="35" t="str">
        <x:v>1 cluster per 4 month, 5 per cluster</x:v>
      </x:c>
      <x:c r="F4" s="35" t="str">
        <x:v>1 cluster per 4 month, 5 per cluster</x:v>
      </x:c>
      <x:c r="G4" s="35" t="str">
        <x:v>match</x:v>
      </x:c>
      <x:c r="H4" s="35" t="str">
        <x:v>unknown</x:v>
      </x:c>
      <x:c r="I4" s="35" t="str">
        <x:v>differs</x:v>
      </x:c>
      <x:c r="J4" s="35" t="str">
        <x:v>5 per 4 month</x:v>
      </x:c>
      <x:c r="K4" s="35" t="str">
        <x:v>match</x:v>
      </x:c>
      <x:c r="L4" s="35" t="str">
        <x:v>…cetam since March 2025 Levetiracetam 500 mg twice a day (patient-reported adherence, no missed doses in the last 8 weeks) Levetiracetam Blood Level: 20 September 2025: 14 µg/mL (laboratory therapeutic reference 12–46 µg/mL). Dose 500 mg twice a day. Seizures: She may remain seizure-free for up to 4 month, but then will experience clusters of 5 seizures in a single day. These clusters have reduced in intensity and recovery time over the last two episodes, with no injuries or prolonged post-ictal confusion reported. No clear auras or focal features described. I reviewed Amelia Hart today in follow-up. Since relocating at work from the hot cookline to a prep area with improved ventilation, she reports fewer heat and fume triggers, better sleep continuity, and reduced daytime fatigue.…</x:v>
      </x:c>
      <x:c r="M4" s="35" t="str">
        <x:v>docs/research/gan2026_category_cut_representative_examples_2026-08-08.md</x:v>
      </x:c>
      <x:c r="N4" s="35" t="str">
        <x:v>experiments/category_cut_representative_examples_20260808.json</x:v>
      </x:c>
    </x:row>
    <x:row r="5" ht="72" customHeight="1">
      <x:c r="A5" s="34" t="str">
        <x:v>Gan 2026</x:v>
      </x:c>
      <x:c r="B5" s="34" t="str">
        <x:v>Seizure frequency</x:v>
      </x:c>
      <x:c r="C5" s="34" t="str">
        <x:v>seizure_free</x:v>
      </x:c>
      <x:c r="D5" s="34" t="str">
        <x:v>2907</x:v>
      </x:c>
      <x:c r="E5" s="35" t="str">
        <x:v>seizure free for 6 month</x:v>
      </x:c>
      <x:c r="F5" s="35" t="str">
        <x:v>seizure free for 6 month</x:v>
      </x:c>
      <x:c r="G5" s="35" t="str">
        <x:v>match</x:v>
      </x:c>
      <x:c r="H5" s="35" t="str">
        <x:v>unknown</x:v>
      </x:c>
      <x:c r="I5" s="35" t="str">
        <x:v>differs</x:v>
      </x:c>
      <x:c r="J5" s="35" t="str">
        <x:v>seizure free for multiple year</x:v>
      </x:c>
      <x:c r="K5" s="35" t="str">
        <x:v>match</x:v>
      </x:c>
      <x:c r="L5" s="35" t="str">
        <x:v>…spital, Denmark Hill, London SE5 9RS Dear Dr Maya Patel, Alex Turner, DOB: 22-08-1991, Hospital No: A9135726 NHS No. 9432086157 Flat 12, 4 Beacon Yard, London, SE1 3AB Diagnosis: Recurrent seizures of undetermined classification; current control satisfactory. Seizure-free since 27 March 2024 as per patient and collateral reports. Aetiology: Unclear. No structural lesion identified on prior MRI (2022) and no clear precipitant identified beyond photic exposure at work. Other Medical Problems: Migraine without aura, intermittent; vitamin D insufficiency on replacement. Management Plan: Continue Levetiracetam 1,000 mg twice daily and Sodium Valproate 300 mg mane, 600 mg nocte; maintain single consistent brands. Check trough levels and U&amp;E/LFTs at next review. Arrange repeat EEG with photic stimulation protocol given occupational exposure. Occupational health note provided to advise reasonable adjustments around strobe sequences and ensuring supervised environment if exposures are unavoidable. Driving advice reiterated as per DVLA guidance. Review in six months or sooner if breakthrough events or adverse effects. This stage lighting technician reports that colleagues may occasionally wi…</x:v>
      </x:c>
      <x:c r="M5" s="35" t="str">
        <x:v>docs/research/gan2026_category_cut_representative_examples_2026-08-08.md</x:v>
      </x:c>
      <x:c r="N5" s="35" t="str">
        <x:v>experiments/category_cut_representative_examples_20260808.json</x:v>
      </x:c>
    </x:row>
    <x:row r="6" ht="72" customHeight="1">
      <x:c r="A6" s="34" t="str">
        <x:v>Gan 2026</x:v>
      </x:c>
      <x:c r="B6" s="34" t="str">
        <x:v>Seizure frequency</x:v>
      </x:c>
      <x:c r="C6" s="34" t="str">
        <x:v>range_rate</x:v>
      </x:c>
      <x:c r="D6" s="34" t="str">
        <x:v>14187</x:v>
      </x:c>
      <x:c r="E6" s="35" t="str">
        <x:v>2 to 3 per month</x:v>
      </x:c>
      <x:c r="F6" s="35" t="str">
        <x:v>2 to 3 per month</x:v>
      </x:c>
      <x:c r="G6" s="35" t="str">
        <x:v>match</x:v>
      </x:c>
      <x:c r="H6" s="35" t="str">
        <x:v>unknown</x:v>
      </x:c>
      <x:c r="I6" s="35" t="str">
        <x:v>differs</x:v>
      </x:c>
      <x:c r="J6" s="35" t="str">
        <x:v>2 to 3 per 1 month</x:v>
      </x:c>
      <x:c r="K6" s="35" t="str">
        <x:v>match</x:v>
      </x:c>
      <x:c r="L6" s="35" t="str">
        <x:v>…guidance and employer policy). Arrange follow-up in six months with trough Lamotrigine level and U&amp;E/LFT monitoring. She reports a demanding role as a warehouse picker working between tall racking and narrow aisles, with variable lifting tasks and shift pace. She discontinued Valproate on 10 Jul. Shortly afterwards, she experienced 2 to 3 seizures, one triggered by missed medication. She has remained seizure-free since then. She attributes improvement to stricter adherence, better sleep on late shifts, and reduction in caffeine. There have been no injuries, no myoclonic jerks on waking in the last month, and no absence episodes witnessed by colleagues. We reviewed common precipitants, including missed doses and sleep deprivation, and she has implemented reminders and uses a pill organiser. She understands to avoid operating pallet stack…</x:v>
      </x:c>
      <x:c r="M6" s="35" t="str">
        <x:v>docs/research/gan2026_category_cut_representative_examples_2026-08-08.md</x:v>
      </x:c>
      <x:c r="N6" s="35" t="str">
        <x:v>experiments/category_cut_representative_examples_20260808.json</x:v>
      </x:c>
    </x:row>
    <x:row r="7" ht="72" customHeight="1">
      <x:c r="A7" s="34" t="str">
        <x:v>Gan 2026</x:v>
      </x:c>
      <x:c r="B7" s="34" t="str">
        <x:v>Seizure frequency</x:v>
      </x:c>
      <x:c r="C7" s="34" t="str">
        <x:v>unknown_sentinel</x:v>
      </x:c>
      <x:c r="D7" s="34" t="str">
        <x:v>2166</x:v>
      </x:c>
      <x:c r="E7" s="35" t="str">
        <x:v>unknown</x:v>
      </x:c>
      <x:c r="F7" s="35" t="str">
        <x:v>no seizure frequency reference</x:v>
      </x:c>
      <x:c r="G7" s="35" t="str">
        <x:v>match</x:v>
      </x:c>
      <x:c r="H7" s="35" t="str">
        <x:v>unknown</x:v>
      </x:c>
      <x:c r="I7" s="35" t="str">
        <x:v>match</x:v>
      </x:c>
      <x:c r="J7" s="35" t="str">
        <x:v>multiple per day</x:v>
      </x:c>
      <x:c r="K7" s="35" t="str">
        <x:v>match</x:v>
      </x:c>
      <x:c r="L7" s="35" t="str">
        <x:v>Epilepsy Centre Neurosciences Division From: Dr Priya Shah (KING'S COLLEGE HOSPITAL NHS FOUNDATION TRUST) Sent: 27 June 2019 11:20 To: epilepsy.clinic@nhs.net Cc: Dr Michael Turner (KING'S COLLEGE HOSPITAL NHS FOUNDATION TRUST); Dr Helen Brooks (KING'S COLLEGE HOSPITAL NHS FOUNDATION TRUST) Subject: Treatment review and guidance Hi Priya Epilepsy Diagnosis: Generalised epilepsy Present Medication: 1. Sodium Valproate 300 mg in the morning and 500 mg at night 2. Lamotrigine 50 mg twice daily Present Seizure Frequency: Patient reports frequent petit mal recently, particularly on waking and during periods of prolonged screen use at work. No generalised tonic–clonic seizures for over a year. Plan of Action: The patient describes increasing brief absence episodes over the past six weeks, with no clear illness, sleep deprivation, or missed doses identified. They feel work-related visual strain and stress may be contributory. Given the pattern in generalised epilepsy, I recommend a cautious optimisation of lamotrigine while maintaining sodium valproate.…</x:v>
      </x:c>
      <x:c r="M7" s="35" t="str">
        <x:v>docs/research/gan2026_category_cut_representative_examples_2026-08-08.md</x:v>
      </x:c>
      <x:c r="N7" s="35" t="str">
        <x:v>experiments/category_cut_representative_examples_20260808.json</x:v>
      </x:c>
    </x:row>
    <x:row r="8" ht="72" customHeight="1">
      <x:c r="A8" s="34" t="str">
        <x:v>Gan 2026</x:v>
      </x:c>
      <x:c r="B8" s="34" t="str">
        <x:v>Seizure frequency</x:v>
      </x:c>
      <x:c r="C8" s="34" t="str">
        <x:v>no_reference_sentinel</x:v>
      </x:c>
      <x:c r="D8" s="34" t="str">
        <x:v>11409</x:v>
      </x:c>
      <x:c r="E8" s="35" t="str">
        <x:v>no seizure frequency reference</x:v>
      </x:c>
      <x:c r="F8" s="35" t="str">
        <x:v>no seizure frequency reference</x:v>
      </x:c>
      <x:c r="G8" s="35" t="str">
        <x:v>match</x:v>
      </x:c>
      <x:c r="H8" s="35" t="str">
        <x:v>unknown</x:v>
      </x:c>
      <x:c r="I8" s="35" t="str">
        <x:v>match</x:v>
      </x:c>
      <x:c r="J8" s="35" t="str">
        <x:v>unknown</x:v>
      </x:c>
      <x:c r="K8" s="35" t="str">
        <x:v>match</x:v>
      </x:c>
      <x:c r="L8" s="35" t="str">
        <x:v>KINGS NEUROSCIENCES CENTRE Clinic Date: 04 August 2019 Dr Kate Health Centre Keele University, Keele, Newcastle Staffordshire ST5 5BG Dear Dr Kate Wendy Brown, DOB: 21-11-1982, Hospital No: K482715 NHS No. 6592841037 Flat 7 Brookside Avenue, Newcastle-under-Lyme, ST5 2QD Summary: Follow-up booking request to review symptom patterns associated with sleep loss and to align care with the patient’s personalised plan (documented elsewhere). Background: The patient reports occasional cluster patterns linked to sleep loss. A personalised plan is already in place and referenced in the record. Request: Please arrange a routine follow-up appointment in the neurology clinic within 8–10 weeks, sooner if the patient or primary care has concerns. At review, we will: - Reassess sleep hygiene and triggers - Check adherence and tolerability of current management - Confirm alignment with the personalised plan and update as needed Interim advice:…</x:v>
      </x:c>
      <x:c r="M8" s="35" t="str">
        <x:v>docs/research/gan2026_category_cut_representative_examples_2026-08-08.md</x:v>
      </x:c>
      <x:c r="N8" s="35" t="str">
        <x:v>experiments/category_cut_representative_examples_20260808.json</x:v>
      </x:c>
    </x:row>
    <x:row r="9" ht="72" customHeight="1">
      <x:c r="A9" s="34" t="str">
        <x:v>Gan 2026</x:v>
      </x:c>
      <x:c r="B9" s="34" t="str">
        <x:v>Seizure frequency</x:v>
      </x:c>
      <x:c r="C9" s="34" t="str">
        <x:v>unresolved_multiple</x:v>
      </x:c>
      <x:c r="D9" s="34" t="str">
        <x:v>14282</x:v>
      </x:c>
      <x:c r="E9" s="35" t="str">
        <x:v>multiple per month</x:v>
      </x:c>
      <x:c r="F9" s="35" t="str">
        <x:v>multiple per month</x:v>
      </x:c>
      <x:c r="G9" s="35" t="str">
        <x:v>match</x:v>
      </x:c>
      <x:c r="H9" s="35" t="str">
        <x:v>multiple per week</x:v>
      </x:c>
      <x:c r="I9" s="35" t="str">
        <x:v>match</x:v>
      </x:c>
      <x:c r="J9" s="35" t="str">
        <x:v>multiple per 3 week</x:v>
      </x:c>
      <x:c r="K9" s="35" t="str">
        <x:v>match</x:v>
      </x:c>
      <x:c r="L9" s="35" t="str">
        <x:v>…rearms following two unwitnessed collapses on stairs and when exiting public transport. He has not required emergency treatment, but these occurrences have increased his and his partner’s anxiety regarding safety and supervision. Medication and recent course: He came off Levetiracetam on 10 December. In the following week, he had several seizures, one associated with sleep deprivation. No further seizures have occurred since. He reports that sleep quality has been variable and that he occasionally misses meals when working late. No other anti-seizure medicines are currently prescribed, and there have been no recent intercurrent illnesses. He is using a smartphone seizure diary, which corroborates the timing of the early post-withdrawal events and the subsequent seizure-free interval. Examination today was unremarkable with normal cardior…</x:v>
      </x:c>
      <x:c r="M9" s="35" t="str">
        <x:v>docs/research/gan2026_category_cut_representative_examples_2026-08-08.md</x:v>
      </x:c>
      <x:c r="N9" s="35" t="str">
        <x:v>experiments/category_cut_representative_examples_20260808.json</x:v>
      </x:c>
    </x:row>
    <x:row r="10" ht="72" customHeight="1">
      <x:c r="A10" s="34" t="str">
        <x:v>ExECTv2</x:v>
      </x:c>
      <x:c r="B10" s="34" t="str">
        <x:v>Diagnosis</x:v>
      </x:c>
      <x:c r="C10" s="34" t="str">
        <x:v>epilepsy</x:v>
      </x:c>
      <x:c r="D10" s="34" t="str">
        <x:v>EA0173</x:v>
      </x:c>
      <x:c r="E10" s="35" t="str">
        <x:v>epilepsy (DiagCategory=Epilepsy)</x:v>
      </x:c>
      <x:c r="F10" s="35" t="str">
        <x:v>Epilepsy (DiagCategory=Epilepsy)</x:v>
      </x:c>
      <x:c r="G10" s="35" t="str">
        <x:v>match</x:v>
      </x:c>
      <x:c r="H10" s="35" t="str">
        <x:v>Unclassified Epilepsy (DiagCategory=Epilepsy)</x:v>
      </x:c>
      <x:c r="I10" s="35" t="str">
        <x:v>match</x:v>
      </x:c>
      <x:c r="J10" s="35" t="str">
        <x:v>epilepsy (DiagCategory=Epilepsy)</x:v>
      </x:c>
      <x:c r="K10" s="35" t="str">
        <x:v>match</x:v>
      </x:c>
      <x:c r="L10" s="35" t="str">
        <x:v>Rachel Johannes DoB 13-Jul-1990 Diagnosis – Unclassified Epilepsy Treatment – Unsure of exact medications I met with Rachel and her partner in clinic recently. Rachel said that her last seizure was on the 15th April in her home. Rachel showed me her seizure chart. We discssued safety issues and Rachel takes showers not baths. We also discussed contraception. Previously she has tried the pill but this seemed to make her seizures worse. The depo injection seems to cause wright gain. We agreed that Rachel will make an appointment with yourself to discussed contraception</x:v>
      </x:c>
      <x:c r="M10" s="35" t="str">
        <x:v>docs/research/exectv2_category_cut_representative_examples_2026-08-08.md</x:v>
      </x:c>
      <x:c r="N10" s="35" t="str">
        <x:v>experiments/category_cut_representative_examples_20260808.json</x:v>
      </x:c>
    </x:row>
    <x:row r="11" ht="72" customHeight="1">
      <x:c r="A11" s="34" t="str">
        <x:v>ExECTv2</x:v>
      </x:c>
      <x:c r="B11" s="34" t="str">
        <x:v>Diagnosis</x:v>
      </x:c>
      <x:c r="C11" s="34" t="str">
        <x:v>multiple_seizures</x:v>
      </x:c>
      <x:c r="D11" s="34" t="str">
        <x:v>EA0008</x:v>
      </x:c>
      <x:c r="E11" s="35" t="str">
        <x:v>symptomatic-structural-focal-epilepsy (DiagCategory=Epilepsy) | focal-seizures-with-altered-awareness (DiagCategory=MultipleSeizures)</x:v>
      </x:c>
      <x:c r="F11" s="35" t="str">
        <x:v>symptomatic structural focal epilepsy (DiagCategory=Epilepsy) | focal seizures with altered awareness (DiagCategory=Epilepsy)</x:v>
      </x:c>
      <x:c r="G11" s="35" t="str">
        <x:v>match</x:v>
      </x:c>
      <x:c r="H11" s="35" t="str">
        <x:v>symptomatic structural focal epilepsy (DiagCategory=Epilepsy) | focal seizures with altered awareness (DiagCategory=MultipleSeizures)</x:v>
      </x:c>
      <x:c r="I11" s="35" t="str">
        <x:v>match</x:v>
      </x:c>
      <x:c r="J11" s="35" t="str">
        <x:v>symptomatic structural focal epilepsy (DiagCategory=Epilepsy) | focal seizures with altered awareness (DiagCategory=MultipleSeizures) | focal seizures (DiagCategory=MultipleSeizures)</x:v>
      </x:c>
      <x:c r="K11" s="35" t="str">
        <x:v>differs</x:v>
      </x:c>
      <x:c r="L11" s="35" t="str">
        <x:v>Dear Dr, Diagnosis: symptomatic structural focal epilepsy Previous meningioma resection 3rd January 2005 Seizure type and frequency: focal seizures with altered awareness every 3 weeks Current anti-epileptic medication: lamotrigine 75mg bd (to reduce and stop as detailed below) To start levetiracetam as detailed below I reviewed this 62 year old man together with his wife in clinic today. Unfortunately after the period of seizure freedom the seizures have returned. The seizures are very stereotyped and asked similar to the events he had before surgery. He will get a warning of an unusual burning taste and then lose awareness and contact for a few minutes. His wife said that he will stare and occasionally chew his lips during these events. He feels dizzy on the lamotrigine and is keen to change his medication. I therefore suggest that he starts levetiracetam at a dose of 250mg…</x:v>
      </x:c>
      <x:c r="M11" s="35" t="str">
        <x:v>docs/research/exectv2_category_cut_representative_examples_2026-08-08.md</x:v>
      </x:c>
      <x:c r="N11" s="35" t="str">
        <x:v>experiments/category_cut_representative_examples_20260808.json</x:v>
      </x:c>
    </x:row>
    <x:row r="12" ht="72" customHeight="1">
      <x:c r="A12" s="34" t="str">
        <x:v>ExECTv2</x:v>
      </x:c>
      <x:c r="B12" s="34" t="str">
        <x:v>Diagnosis</x:v>
      </x:c>
      <x:c r="C12" s="34" t="str">
        <x:v>single_seizure</x:v>
      </x:c>
      <x:c r="D12" s="34" t="str">
        <x:v>EA0009</x:v>
      </x:c>
      <x:c r="E12" s="35" t="str">
        <x:v>bilateral-convulsive-seizure (DiagCategory=SingleSeizure)</x:v>
      </x:c>
      <x:c r="F12" s="35" t="str">
        <x:v>bilateral convulsive seizure (DiagCategory=Epilepsy)</x:v>
      </x:c>
      <x:c r="G12" s="35" t="str">
        <x:v>match</x:v>
      </x:c>
      <x:c r="H12" s="35" t="str">
        <x:v>bilateral convulsive seizure (DiagCategory=SingleSeizure) | febrile seizures (DiagCategory=MultipleSeizures)</x:v>
      </x:c>
      <x:c r="I12" s="35" t="str">
        <x:v>differs</x:v>
      </x:c>
      <x:c r="J12" s="35" t="str">
        <x:v>bilateral convulsive seizure (DiagCategory=MultipleSeizures)</x:v>
      </x:c>
      <x:c r="K12" s="35" t="str">
        <x:v>match</x:v>
      </x:c>
      <x:c r="L12" s="35" t="str">
        <x:v>Dear Dr , I reviewed this 42-year-old woman in the clinic this morning. As you know she has experienced seizures since around 4 weeks after her operation. This was a craniotomy for her frontal lobe brain tumour. During her seizures she typically has a left-handed stiffness which progresses to her shoulder. Around 50% of the time she will then lose consciousness before going in to a bilateral convulsive seizure. Her seizure frequency does vary. Currently she get around 2-4 seizures per month. Although she did have a cluster of seizures in August, 2017 where she had 6-9 seizures every week for 3 weeks. She was born normally but did have 2 febrile seizures at the age of 2 months and 34 months. She is currently taking levetiracetam 750 mg twice a day as well as lamotrigine 100 mg twice a day. Her last MRI in January, 2018 did show frontal lobe gliosis and signs of previous craniotomy which would be consistent with her previous surgery. Given that she is having ongoing seizures I would suggest increasing the lamotrigine in the 1st instance by 25 mg every fortnight until she is on a target dose of 150 mg twice a day</x:v>
      </x:c>
      <x:c r="M12" s="35" t="str">
        <x:v>docs/research/exectv2_category_cut_representative_examples_2026-08-08.md</x:v>
      </x:c>
      <x:c r="N12" s="35" t="str">
        <x:v>experiments/category_cut_representative_examples_20260808.json</x:v>
      </x:c>
    </x:row>
    <x:row r="13" ht="72" customHeight="1">
      <x:c r="A13" s="34" t="str">
        <x:v>ExECTv2</x:v>
      </x:c>
      <x:c r="B13" s="34" t="str">
        <x:v>SeizureFrequency</x:v>
      </x:c>
      <x:c r="C13" s="34" t="str">
        <x:v>seizure_free</x:v>
      </x:c>
      <x:c r="D13" s="34" t="str">
        <x:v>EA0061</x:v>
      </x:c>
      <x:c r="E13" s="35" t="str">
        <x:v>focal-seizures-with-altered-awareness (NumberOfSeizures=0, NumberOfTimePeriods=3, TimePeriod=Year) | focal-to-bilateral-convulsive-seizure (NumberOfSeizures=0, NumberOfTimePeriods=10, TimePeriod=Year)</x:v>
      </x:c>
      <x:c r="F13" s="35" t="str">
        <x:v>focal seizures with altered awareness (NumberOfSeizures=0, NumberOfTimePeriods=3, TimePeriod=Year) | focal to bilateral seizures (NumberOfSeizures=0, NumberOfTimePeriods=10, TimePeriod=Year)</x:v>
      </x:c>
      <x:c r="G13" s="35" t="str">
        <x:v>match</x:v>
      </x:c>
      <x:c r="H13" s="35" t="str">
        <x:v>focal seizures with altered awareness (NumberOfSeizures=0, NumberOfTimePeriods=3, TimePeriod=Year, TimeSince_or_TimeOfEvent=Since) | focal to bilateral seizures (NumberOfSeizures=2) | focal to bilateral seizures (NumberOfSeizures=0, NumberOfTimePeriods=10, TimePeriod=Year, TimeSince_or_TimeOfEvent=Since)</x:v>
      </x:c>
      <x:c r="I13" s="35" t="str">
        <x:v>differs</x:v>
      </x:c>
      <x:c r="J13" s="35" t="str">
        <x:v>focal seizures with altered awareness (NumberOfSeizures=0, NumberOfTimePeriods=3, TimePeriod=Year, TimeSince_or_TimeOfEvent=Since) | seizures (NumberOfSeizures=0, NumberOfTimePeriods=10, TimePeriod=Year) | focal to bilateral seizures (NumberOfSeizures=0, NumberOfTimePeriods=10, TimePeriod=Year, TimeSince_or_TimeOfEvent=Since)</x:v>
      </x:c>
      <x:c r="K13" s="35" t="str">
        <x:v>differs</x:v>
      </x:c>
      <x:c r="L13" s="35" t="str">
        <x:v>Our Ref ABC/SW/T4888786 NHS No 4221549987 Clinic Date 19/9/2017 The Epilepsy service Dear Dr r.e. Mr Owen Owens 34, Terrible Road, Nicetown. SA2 4II Diagnosis: focal epilepsy, probable parietal onset Seizure type and frequency: focal seizures with altered awareness (unusual arm sensation), last event 3 years ago focal to bilateral seizures 2 events in total, last event 10 years ago. Current anti-epileptic medication: lamtorigine 250mg bd (to reduce as detailed below) Previous medication tried include topiramate. Investigations: MRI, right parietal focal cortical dysplasia I reviewed the 36 year old salesman today in clinic. I had not met him before. He was born in Scotland and has only lived in Wales for the last two years. His previous epilepsy investigations and care has been in Scotland. His epilepsy started when he was 10 years old. He had a febrile seizure at the age of 3. He has got episodic migraine for which he take sumitryptan. There is no family history of epilepsy. He has been back driving for the last year His seizures are quite stereotyped in that he gets a strange sensation in his left arm which rises towards his face. On the two occasions he has had bigger seizures t…</x:v>
      </x:c>
      <x:c r="M13" s="35" t="str">
        <x:v>docs/research/exectv2_category_cut_representative_examples_2026-08-08.md</x:v>
      </x:c>
      <x:c r="N13" s="35" t="str">
        <x:v>experiments/category_cut_representative_examples_20260808.json</x:v>
      </x:c>
    </x:row>
    <x:row r="14" ht="72" customHeight="1">
      <x:c r="A14" s="34" t="str">
        <x:v>ExECTv2</x:v>
      </x:c>
      <x:c r="B14" s="34" t="str">
        <x:v>SeizureFrequency</x:v>
      </x:c>
      <x:c r="C14" s="34" t="str">
        <x:v>numeric_cadence_rate</x:v>
      </x:c>
      <x:c r="D14" s="34" t="str">
        <x:v>EA0025</x:v>
      </x:c>
      <x:c r="E14" s="35" t="str">
        <x:v>generalised-tonic-clonic-seizures (LowerNumberOfSeizures=3, UpperNumberOfSeizures=4, NumberOfTimePeriods=1, TimePeriod=Week, TimeSince_or_TimeOfEvent=During) | myoclonic-jerks (FrequencyChange=Frequent)</x:v>
      </x:c>
      <x:c r="F14" s="35" t="str">
        <x:v>seizures (LowerNumberOfSeizures=3, UpperNumberOfSeizures=4, NumberOfTimePeriods=1, TimePeriod=Week) | myoclonic jerks (FrequencyChange=Frequent) | generalised tonic clonic seizures (LowerNumberOfSeizures=3, UpperNumberOfSeizures=4, NumberOfTimePeriods=1, TimePeriod=Week, TimeSince_or_TimeOfEvent=During)</x:v>
      </x:c>
      <x:c r="G14" s="35" t="str">
        <x:v>differs</x:v>
      </x:c>
      <x:c r="H14" s="35" t="str">
        <x:v>seizures (LowerNumberOfSeizures=3, UpperNumberOfSeizures=4, NumberOfTimePeriods=1, TimePeriod=Week)</x:v>
      </x:c>
      <x:c r="I14" s="35" t="str">
        <x:v>differs</x:v>
      </x:c>
      <x:c r="J14" s="35" t="str">
        <x:v>generalised tonic clonic seizures (LowerNumberOfSeizures=3, UpperNumberOfSeizures=4, NumberOfTimePeriods=1, TimePeriod=Week)</x:v>
      </x:c>
      <x:c r="K14" s="35" t="str">
        <x:v>differs</x:v>
      </x:c>
      <x:c r="L14" s="35" t="str">
        <x:v>Ann Richards. D.O.B. 21/04/1974 Diagnosis: generalised tonic clonic seizures with myoclonic jerks, possible JME Anti-convulsant medication: epilim 500 mg BD Lamictal 100 mg in the morning, 175 mg in the afternoon I saw Ann who was accompanied with her daughter in my nurse led clinic today. She split up from her partner last year and so underwent a lot of stress. She had approximately 3–4 generalised tonic chronic seizures per week from May to August. She also had very frequent myoclonic jerks. She also has headaches and heartburn. She probably drinks too much alcohol, having around one bottle of wine per day. I have advised her around ifestyle issues and will review her in approximately four months time.</x:v>
      </x:c>
      <x:c r="M14" s="35" t="str">
        <x:v>docs/research/exectv2_category_cut_representative_examples_2026-08-08.md</x:v>
      </x:c>
      <x:c r="N14" s="35" t="str">
        <x:v>experiments/category_cut_representative_examples_20260808.json</x:v>
      </x:c>
    </x:row>
    <x:row r="15" ht="72" customHeight="1">
      <x:c r="A15" s="34" t="str">
        <x:v>ExECTv2</x:v>
      </x:c>
      <x:c r="B15" s="34" t="str">
        <x:v>SeizureFrequency</x:v>
      </x:c>
      <x:c r="C15" s="34" t="str">
        <x:v>count_in_named_window</x:v>
      </x:c>
      <x:c r="D15" s="34" t="str">
        <x:v>EA0186</x:v>
      </x:c>
      <x:c r="E15" s="35" t="str">
        <x:v>focal-to-bilateral-convulsive-seizure (NumberOfSeizures=1, TimeSince_or_TimeOfEvent=During, YearDate=2017, MonthDate=5) | seizure (NumberOfSeizures=1, PointInTime=Last_Month, TimeSince_or_TimeOfEvent=During) | focal (NumberOfSeizures=0, NumberOfTimePeriods=10, TimePeriod=Month)</x:v>
      </x:c>
      <x:c r="F15" s="35" t="str">
        <x:v>seizure (NumberOfSeizures=1, PointInTime=Last_Month, TimeSince_or_TimeOfEvent=During) | focal to bilateral convulsive seizure (NumberOfSeizures=1, TimeSince_or_TimeOfEvent=During, YearDate=2017, MonthDate=5) | focal (NumberOfSeizures=0, NumberOfTimePeriods=10, TimePeriod=Month)</x:v>
      </x:c>
      <x:c r="G15" s="35" t="str">
        <x:v>differs</x:v>
      </x:c>
      <x:c r="H15" s="35" t="str">
        <x:v>seizure (NumberOfSeizures=1, PointInTime=Last_Month, TimeSince_or_TimeOfEvent=During) | focal motor seizures (NumberOfSeizures=0, NumberOfTimePeriods=10, TimePeriod=Month, TimeSince_or_TimeOfEvent=Since)</x:v>
      </x:c>
      <x:c r="I15" s="35" t="str">
        <x:v>differs</x:v>
      </x:c>
      <x:c r="J15" s="35" t="str">
        <x:v>focal motor seizures (NumberOfSeizures=0, NumberOfTimePeriods=10, TimePeriod=Month, TimeSince_or_TimeOfEvent=Since)</x:v>
      </x:c>
      <x:c r="K15" s="35" t="str">
        <x:v>differs</x:v>
      </x:c>
      <x:c r="L15" s="35" t="str">
        <x:v>Clinic date 25/09/2018 Re Mr Owen Owens 30/06/1968 Dear doctor, Diagnosis: Symptomatic structural focal epilepsy Area of ischaemic damage left inferior frontal lobe Significant anxiety and depression I reviewed this 50 year old man, together with his wife, in clinic today. He was well from an epilepsy point of view until he had a seizure last month. His wife heard a bang from the next room and went in to see him unconsciouss on the floor. He was stiff, his eyes were open and he made unusual groaning noises before starting to shake. This lasted about 40 seconds before he went to a “deep sleep”. It took him several hours to recover fully. Mr Owens himself remembers his right leg twitching before he lost consciousness. I think therefore that this was a focal to bilateral convulsive seizures. As you recall Mr Owens has had focal motor seizures in the past where he has had jerking of his right leg. These were happening frequently before he started the medication. The last event was probably 10 months ago. He has had one previous focal to bilateral convulsive seizure at the time of diagnosis of his epilepsy in May 2017. As you will recall his MRI at the time was abnormal with an area of…</x:v>
      </x:c>
      <x:c r="M15" s="35" t="str">
        <x:v>docs/research/exectv2_category_cut_representative_examples_2026-08-08.md</x:v>
      </x:c>
      <x:c r="N15" s="35" t="str">
        <x:v>experiments/category_cut_representative_examples_20260808.json</x:v>
      </x:c>
    </x:row>
    <x:row r="16" ht="72" customHeight="1">
      <x:c r="A16" s="34" t="str">
        <x:v>ExECTv2</x:v>
      </x:c>
      <x:c r="B16" s="34" t="str">
        <x:v>SeizureFrequency</x:v>
      </x:c>
      <x:c r="C16" s="34" t="str">
        <x:v>qualitative_frequency_change</x:v>
      </x:c>
      <x:c r="D16" s="34" t="str">
        <x:v>EA0025</x:v>
      </x:c>
      <x:c r="E16" s="35" t="str">
        <x:v>generalised-tonic-clonic-seizures (LowerNumberOfSeizures=3, UpperNumberOfSeizures=4, NumberOfTimePeriods=1, TimePeriod=Week, TimeSince_or_TimeOfEvent=During) | myoclonic-jerks (FrequencyChange=Frequent)</x:v>
      </x:c>
      <x:c r="F16" s="35" t="str">
        <x:v>seizures (LowerNumberOfSeizures=3, UpperNumberOfSeizures=4, NumberOfTimePeriods=1, TimePeriod=Week) | myoclonic jerks (FrequencyChange=Frequent) | generalised tonic clonic seizures (LowerNumberOfSeizures=3, UpperNumberOfSeizures=4, NumberOfTimePeriods=1, TimePeriod=Week, TimeSince_or_TimeOfEvent=During)</x:v>
      </x:c>
      <x:c r="G16" s="35" t="str">
        <x:v>differs</x:v>
      </x:c>
      <x:c r="H16" s="35" t="str">
        <x:v>seizures (LowerNumberOfSeizures=3, UpperNumberOfSeizures=4, NumberOfTimePeriods=1, TimePeriod=Week)</x:v>
      </x:c>
      <x:c r="I16" s="35" t="str">
        <x:v>differs</x:v>
      </x:c>
      <x:c r="J16" s="35" t="str">
        <x:v>generalised tonic clonic seizures (LowerNumberOfSeizures=3, UpperNumberOfSeizures=4, NumberOfTimePeriods=1, TimePeriod=Week)</x:v>
      </x:c>
      <x:c r="K16" s="35" t="str">
        <x:v>differs</x:v>
      </x:c>
      <x:c r="L16" s="35" t="str">
        <x:v>Ann Richards. D.O.B. 21/04/1974 Diagnosis: generalised tonic clonic seizures with myoclonic jerks, possible JME Anti-convulsant medication: epilim 500 mg BD Lamictal 100 mg in the morning, 175 mg in the afternoon I saw Ann who was accompanied with her daughter in my nurse led clinic today. She split up from her partner last year and so underwent a lot of stress. She had approximately 3–4 generalised tonic chronic seizures per week from May to August. She also had very frequent myoclonic jerks. She also has headaches and heartburn. She probably drinks too much alcohol, having around one bottle of wine per day. I have advised her around ifestyle issues and will review her in approximately four months time.</x:v>
      </x:c>
      <x:c r="M16" s="35" t="str">
        <x:v>docs/research/exectv2_category_cut_representative_examples_2026-08-08.md</x:v>
      </x:c>
      <x:c r="N16" s="35" t="str">
        <x:v>experiments/category_cut_representative_examples_20260808.json</x:v>
      </x:c>
    </x:row>
    <x:row r="17" ht="72" customHeight="1">
      <x:c r="A17" s="34" t="str">
        <x:v>ExECTv2</x:v>
      </x:c>
      <x:c r="B17" s="34" t="str">
        <x:v>Prescription</x:v>
      </x:c>
      <x:c r="C17" s="34" t="str">
        <x:v>complete_regimen</x:v>
      </x:c>
      <x:c r="D17" s="34" t="str">
        <x:v>EA0093</x:v>
      </x:c>
      <x:c r="E17" s="35" t="str">
        <x:v>-Episenta-500mg (DrugName=SodiumValproate, DrugDose=500, DoseUnit=mg, Frequency=1)</x:v>
      </x:c>
      <x:c r="F17" s="35" t="str">
        <x:v>Episenta 500mg nocte to withdraw by (DrugName=sodium-valproate, DrugDose=500, DoseUnit=mg, Frequency=1)</x:v>
      </x:c>
      <x:c r="G17" s="35" t="str">
        <x:v>match</x:v>
      </x:c>
      <x:c r="H17" s="35" t="str">
        <x:v>Levetiracetam (DrugName=levetiracetam) | Valproate as Episenta 500mg nocte (DrugName=episenta, DrugDose=500, DoseUnit=mg, Frequency=1)</x:v>
      </x:c>
      <x:c r="I17" s="35" t="str">
        <x:v>match</x:v>
      </x:c>
      <x:c r="J17" s="35" t="str">
        <x:v>Levetiracetam (DrugName=levetiracetam) | Valproate as Episenta 500mg nocte (DrugName=sodium-valproate, DrugDose=500, DoseUnit=mg, Frequency=1)</x:v>
      </x:c>
      <x:c r="K17" s="35" t="str">
        <x:v>match</x:v>
      </x:c>
      <x:c r="L17" s="35" t="str">
        <x:v>Clinic date: 3rd April 2016 Typed: 5th April 2016 Dear Dr Pooled Re: Miss Lucy Williams D.O.B: 25/02/2007 NHS 123 123 5445 Diagnosis: Primary generalised epilepsy Medication: Levetiracetam ?dose Valproate as Episenta 500mg nocte to withdraw by 100mg increments every week starting next school holidays Follow up: 6 months I reviewed this young lady in the clinic today. She has been very well and has had no seizures since Christmas 2015. She is doing very well in Year 5 at School. She has no side effects from her current medication. Mother felt that as her medication was being withdrawn, she became very tearful but this has settled down. Lucy today, was wary of reducing her medication further but we have persuaded her to do this slowly over the summer holidays. I have asked out epilepsy nurse to clarify with you the actual dose of Levetiracetam that she is taking as mother was not entirely clear. Yours sincerely</x:v>
      </x:c>
      <x:c r="M17" s="35" t="str">
        <x:v>docs/research/exectv2_category_cut_representative_examples_2026-08-08.md</x:v>
      </x:c>
      <x:c r="N17" s="35" t="str">
        <x:v>experiments/category_cut_representative_examples_20260808.json</x:v>
      </x:c>
    </x:row>
    <x:row r="18" ht="72" customHeight="1">
      <x:c r="A18" s="34" t="str">
        <x:v>ExECTv2</x:v>
      </x:c>
      <x:c r="B18" s="34" t="str">
        <x:v>Prescription</x:v>
      </x:c>
      <x:c r="C18" s="34" t="str">
        <x:v>rescue_as_required</x:v>
      </x:c>
      <x:c r="D18" s="34" t="str">
        <x:v>EA0152</x:v>
      </x:c>
      <x:c r="E18" s="35" t="str">
        <x:v>Carbmazapine- (DrugName=Carbamazepine, DrugDose=400, DoseUnit=mg, Frequency=2) | Clobazam- (DrugName=Clobazam, Frequency=As_Required)</x:v>
      </x:c>
      <x:c r="F18" s="35" t="str">
        <x:v>Carbamazapine 400mg bd (DrugName=carbamazepine, DrugDose=400, DoseUnit=mg, Frequency=2) | Clobazam (DrugName=clobazam, Frequency=As_Required)</x:v>
      </x:c>
      <x:c r="G18" s="35" t="str">
        <x:v>match</x:v>
      </x:c>
      <x:c r="H18" s="35" t="str">
        <x:v>Carbamazapine 400mg bd (DrugName=carbamazapine, DrugDose=400, DoseUnit=mg, Frequency=2) | Clobazam 10-20mg bd for seizure clusters (DrugName=clobazam, DrugDose=10-20, DoseUnit=mg, Frequency=2)</x:v>
      </x:c>
      <x:c r="I18" s="35" t="str">
        <x:v>differs</x:v>
      </x:c>
      <x:c r="J18" s="35" t="str">
        <x:v>Carbamazapine 400mg bd (DrugName=carbamazepine, DrugDose=400, DoseUnit=mg, Frequency=2) | Clobazam 10-20mg bd for seizure clusters (DrugName=clobazam, DrugDose=10-20, DoseUnit=mg, Frequency=As_Required)</x:v>
      </x:c>
      <x:c r="K18" s="35" t="str">
        <x:v>match</x:v>
      </x:c>
      <x:c r="L18" s="35" t="str">
        <x:v>Clinic date 19/4/2009 Re: Miss Rachel Stewart D.O.B: 22/04/1979 Diagnosis: Symptomatic structural epilepsy Focal cortical dysplasia right temporal lobe Seizure type and frequency: Complex partial seizures (deja-vu, automatism) 1-2 per month Secondary generalised seizures 3-4 per year anti-epileptic medication: Carbamazapine 400mg bd Clobazam 10-20mg bd for seizure clusters Previous medications tried: Lamotrigine (rash) Investigations: MRI 14/3/2006 right temporal lobe focal cortical dysplasia EEG sharp waves, right temporal lobe I reviewed this 40 year old woman in clinic today. As you know she was diagnosed with epilepsy at the age of 22 after having 2 secondary generalised seizures in 2 days. She gets a difficult to describe feeling of deja-vu before her bigger seizures. She gets the same feeling before her smaller complex partial seizures and sometimes she might smack her lips. She is considering having another baby and we went through risks and benefits of epilepsy medication in pregnancy. I explained that it is a balance between the risks of seizures and risks of medication to the unborn baby. Carbama…</x:v>
      </x:c>
      <x:c r="M18" s="35" t="str">
        <x:v>docs/research/exectv2_category_cut_representative_examples_2026-08-08.md</x:v>
      </x:c>
      <x:c r="N18" s="35" t="str">
        <x:v>experiments/category_cut_representative_examples_20260808.json</x:v>
      </x:c>
    </x:row>
    <x:row r="19" ht="72" customHeight="1">
      <x:c r="A19" s="34" t="str">
        <x:v>ExECTv2</x:v>
      </x:c>
      <x:c r="B19" s="34" t="str">
        <x:v>Investigations</x:v>
      </x:c>
      <x:c r="C19" s="34" t="str">
        <x:v>eeg_normal</x:v>
      </x:c>
      <x:c r="D19" s="34" t="str">
        <x:v>EA0119</x:v>
      </x:c>
      <x:c r="E19" s="35" t="str">
        <x:v>normal-MRI (MRI_Performed=Yes, MRI_Results=Normal) | normal-eeg (EEG_Performed=Yes, EEG_Results=Normal)</x:v>
      </x:c>
      <x:c r="F19" s="35" t="str">
        <x:v>MRI (MRI_Performed=Yes, MRI_Results=Normal) | EEG (EEG_Performed=Yes, EEG_Results=Normal)</x:v>
      </x:c>
      <x:c r="G19" s="35" t="str">
        <x:v>match</x:v>
      </x:c>
      <x:c r="H19" s="35" t="str">
        <x:v>MRI (MRI_Performed=Yes, MRI_Results=Normal) | eeg (EEG_Performed=Yes, EEG_Results=Normal)</x:v>
      </x:c>
      <x:c r="I19" s="35" t="str">
        <x:v>match</x:v>
      </x:c>
      <x:c r="J19" s="35" t="str">
        <x:v>MRI (MRI_Performed=Yes, MRI_Results=Normal) | eeg (EEG_Performed=Yes, EEG_Results=Normal)</x:v>
      </x:c>
      <x:c r="K19" s="35" t="str">
        <x:v>match</x:v>
      </x:c>
      <x:c r="L19" s="35" t="str">
        <x:v>Dear Dr, Re: Ms Hannah Collins DOB 3/4/1972 Diagnosis: focal epilepsy Seizure type and frequency: 1 seizure per week to 1 seizure every month Focal seizures with altered awareness Current anti epileptic medication: Levetiracetam 1500 milligrammes BD Lamotrigine 75MG BD (to increase as detailed below) Other medication includes: olanzapine, diazepam and pregabalin. I reviewed this 48 year old woman in clinic today. I have previously spoken to her on the telephone. Adding the lamotrigine didn't really seem to helpful. She still seems to be getting fairly frequent seizures. She lives alone and so her seizures haven't been witnessed for some time. She thinks she has had this seizure when she in ”loses time”. She doesn't really get any warning before hand. She has had a normal MRI and a normal eeg since her last appointment. As she is still having fairly frequent seizures I think it would be reasonable to increase her lamotragine in steps of 25 milligrammes every two weeks until she is on a dose of 150 milligrammes twice a day. We will continue to follow her by phone consultation however it would be important for her to contact the epilepsy helpline on the number above should there be an…</x:v>
      </x:c>
      <x:c r="M19" s="35" t="str">
        <x:v>docs/research/exectv2_category_cut_representative_examples_2026-08-08.md</x:v>
      </x:c>
      <x:c r="N19" s="35" t="str">
        <x:v>experiments/category_cut_representative_examples_20260808.json</x:v>
      </x:c>
    </x:row>
    <x:row r="20" ht="72" customHeight="1">
      <x:c r="A20" s="34" t="str">
        <x:v>ExECTv2</x:v>
      </x:c>
      <x:c r="B20" s="34" t="str">
        <x:v>Investigations</x:v>
      </x:c>
      <x:c r="C20" s="34" t="str">
        <x:v>eeg_abnormal</x:v>
      </x:c>
      <x:c r="D20" s="34" t="str">
        <x:v>EA0131</x:v>
      </x:c>
      <x:c r="E20" s="35" t="str">
        <x:v>EEG-abnormalities (EEG_Performed=Yes, EEG_Results=Abnormal) | MRI- (MRI_Performed=Yes, MRI_Results=Normal)</x:v>
      </x:c>
      <x:c r="F20" s="35" t="str">
        <x:v>EEG (EEG_Performed=Yes, EEG_Results=Abnormal) | MRI (MRI_Performed=Yes, MRI_Results=Normal)</x:v>
      </x:c>
      <x:c r="G20" s="35" t="str">
        <x:v>match</x:v>
      </x:c>
      <x:c r="H20" s="35" t="str">
        <x:v>EEG (EEG_Performed=Yes, EEG_Results=Abnormal) | MRI scan (MRI_Performed=Yes, MRI_Results=Normal)</x:v>
      </x:c>
      <x:c r="I20" s="35" t="str">
        <x:v>match</x:v>
      </x:c>
      <x:c r="J20" s="35" t="str">
        <x:v>EEG (EEG_Performed=Yes, EEG_Results=Abnormal) | MRI scan (MRI_Performed=Yes, MRI_Results=Normal)</x:v>
      </x:c>
      <x:c r="K20" s="35" t="str">
        <x:v>match</x:v>
      </x:c>
      <x:c r="L20" s="35" t="str">
        <x:v>Clinic Date 2/09/2015 Dear Dr, Re: Ms Julie Johilst 31/07/1988 It was nice to meet this 27 year-old woman in clinic again. She has a primary generalised epilepsy with frequent EEG abnormalities. Previous MRI scans in June 2008 and Novemeber 2010 have been normal. Her epilepsy was not well controlled on carbamazepine monotherapy. However switching to sodium valproate at 400mg twice a day has made a big difference. Unfortunately seizures have been worse in the last year. She is having quite a number of generalised tonic clonic seizures which her partner described to me today. I think the only option here really is to increase the sodium valproate. We did discuss the risks of sodium valproate in pregnancy and in child development and Ms Johilst is well aware of the risks. Howevere this has to be balanced against the risks of frequent convulsive seizures which do carry the risk of serious injury and death.</x:v>
      </x:c>
      <x:c r="M20" s="35" t="str">
        <x:v>docs/research/exectv2_category_cut_representative_examples_2026-08-08.md</x:v>
      </x:c>
      <x:c r="N20" s="35" t="str">
        <x:v>experiments/category_cut_representative_examples_20260808.json</x:v>
      </x:c>
    </x:row>
    <x:row r="21" ht="72" customHeight="1">
      <x:c r="A21" s="34" t="str">
        <x:v>ExECTv2</x:v>
      </x:c>
      <x:c r="B21" s="34" t="str">
        <x:v>Investigations</x:v>
      </x:c>
      <x:c r="C21" s="34" t="str">
        <x:v>eeg_unknown_or_unstated</x:v>
      </x:c>
      <x:c r="D21" s="34" t="str">
        <x:v>EA0179</x:v>
      </x:c>
      <x:c r="E21" s="35" t="str">
        <x:v>EEG- (EEG_Performed=Yes, EEG_Results=Unknown) | MRI (MRI_Performed=Yes, MRI_Results=Normal)</x:v>
      </x:c>
      <x:c r="F21" s="35" t="str">
        <x:v>MRI (MRI_Performed=Yes, MRI_Results=Unknown) | EEG (EEG_Performed=Yes, EEG_Results=Unknown) | EEG (EEG_Performed=Yes)</x:v>
      </x:c>
      <x:c r="G21" s="35" t="str">
        <x:v>differs</x:v>
      </x:c>
      <x:c r="H21" s="35" t="str">
        <x:v>MRI scan (MRI_Performed=Yes, MRI_Results=Normal) | EEG (EEG_Performed=Yes, EEG_Results=Unknown)</x:v>
      </x:c>
      <x:c r="I21" s="35" t="str">
        <x:v>differs</x:v>
      </x:c>
      <x:c r="J21" s="35" t="str">
        <x:v>MRI scan (MRI_Performed=Yes, MRI_Results=Normal) | EEG (EEG_Performed=Yes, EEG_Results=Unknown)</x:v>
      </x:c>
      <x:c r="K21" s="35" t="str">
        <x:v>differs</x:v>
      </x:c>
      <x:c r="L21" s="35" t="str">
        <x:v>Diagnosis: Episodes of loss of consciousness ?syncope ? complex partial seizures Thanks for referring this gentleman to the epilepsy clinic. He has mild learning disabilities. As a child he had seizures and was on medication between the ages of 5 and 10. He had two febrile convulsions at the age of around 3. There is no relevant family history. He describes a typical episode of loss of consciousness where he will start feeling tired and had an unusual headache. He then will not be able to answer questions and will go pale and sweaty before loosing consciousness. He had an MRI scan around 5 years ago which was normal although I have not seen the report. I do not have the results of his recent EEG test. His neurological examination was normal today and he does not have any other medical problems. Comments: I dont have a definite conclusion as to the cause of his episodes of loss of consciousness. I thought today that the episodes sounded more like syncope however he does have learning disabilities and has previously had seizures and so epilepsy needs to be borne in mind. He has already been started on sodium valproate 300mg bd which has stopped the episodes. I will review cardiology…</x:v>
      </x:c>
      <x:c r="M21" s="35" t="str">
        <x:v>docs/research/exectv2_category_cut_representative_examples_2026-08-08.md</x:v>
      </x:c>
      <x:c r="N21" s="35" t="str">
        <x:v>experiments/category_cut_representative_examples_20260808.json</x:v>
      </x:c>
    </x:row>
    <x:row r="22" ht="72" customHeight="1">
      <x:c r="A22" s="34" t="str">
        <x:v>ExECTv2</x:v>
      </x:c>
      <x:c r="B22" s="34" t="str">
        <x:v>Investigations</x:v>
      </x:c>
      <x:c r="C22" s="34" t="str">
        <x:v>mri_normal</x:v>
      </x:c>
      <x:c r="D22" s="34" t="str">
        <x:v>EA0119</x:v>
      </x:c>
      <x:c r="E22" s="35" t="str">
        <x:v>normal-MRI (MRI_Performed=Yes, MRI_Results=Normal) | normal-eeg (EEG_Performed=Yes, EEG_Results=Normal)</x:v>
      </x:c>
      <x:c r="F22" s="35" t="str">
        <x:v>MRI (MRI_Performed=Yes, MRI_Results=Normal) | EEG (EEG_Performed=Yes, EEG_Results=Normal)</x:v>
      </x:c>
      <x:c r="G22" s="35" t="str">
        <x:v>match</x:v>
      </x:c>
      <x:c r="H22" s="35" t="str">
        <x:v>MRI (MRI_Performed=Yes, MRI_Results=Normal) | eeg (EEG_Performed=Yes, EEG_Results=Normal)</x:v>
      </x:c>
      <x:c r="I22" s="35" t="str">
        <x:v>match</x:v>
      </x:c>
      <x:c r="J22" s="35" t="str">
        <x:v>MRI (MRI_Performed=Yes, MRI_Results=Normal) | eeg (EEG_Performed=Yes, EEG_Results=Normal)</x:v>
      </x:c>
      <x:c r="K22" s="35" t="str">
        <x:v>match</x:v>
      </x:c>
      <x:c r="L22" s="35" t="str">
        <x:v>Dear Dr, Re: Ms Hannah Collins DOB 3/4/1972 Diagnosis: focal epilepsy Seizure type and frequency: 1 seizure per week to 1 seizure every month Focal seizures with altered awareness Current anti epileptic medication: Levetiracetam 1500 milligrammes BD Lamotrigine 75MG BD (to increase as detailed below) Other medication includes: olanzapine, diazepam and pregabalin. I reviewed this 48 year old woman in clinic today. I have previously spoken to her on the telephone. Adding the lamotrigine didn't really seem to helpful. She still seems to be getting fairly frequent seizures. She lives alone and so her seizures haven't been witnessed for some time. She thinks she has had this seizure when she in ”loses time”. She doesn't really get any warning before hand. She has had a normal MRI and a normal eeg since her last appointment. As she is still having fairly frequent seizures I think it would be reasonable to increase her lamotragine in steps of 25 milligrammes every two weeks until she is on a dose of 150 milligrammes twice a day. We will continue to follow her by phone consultation however it would be important for her to contact the epilepsy helpline on the number above should there be an…</x:v>
      </x:c>
      <x:c r="M22" s="35" t="str">
        <x:v>docs/research/exectv2_category_cut_representative_examples_2026-08-08.md</x:v>
      </x:c>
      <x:c r="N22" s="35" t="str">
        <x:v>experiments/category_cut_representative_examples_20260808.json</x:v>
      </x:c>
    </x:row>
    <x:row r="23" ht="72" customHeight="1">
      <x:c r="A23" s="34" t="str">
        <x:v>ExECTv2</x:v>
      </x:c>
      <x:c r="B23" s="34" t="str">
        <x:v>Investigations</x:v>
      </x:c>
      <x:c r="C23" s="34" t="str">
        <x:v>mri_abnormal</x:v>
      </x:c>
      <x:c r="D23" s="34" t="str">
        <x:v>EA0126</x:v>
      </x:c>
      <x:c r="E23" s="35" t="str">
        <x:v>MRI-scan (MRI_Performed=Yes, MRI_Results=Abnormal)</x:v>
      </x:c>
      <x:c r="F23" s="35" t="str">
        <x:v>MRI (MRI_Performed=Yes, MRI_Results=Abnormal)</x:v>
      </x:c>
      <x:c r="G23" s="35" t="str">
        <x:v>match</x:v>
      </x:c>
      <x:c r="H23" s="35" t="str">
        <x:v>MRI scan (MRI_Performed=Yes, MRI_Results=Abnormal)</x:v>
      </x:c>
      <x:c r="I23" s="35" t="str">
        <x:v>match</x:v>
      </x:c>
      <x:c r="J23" s="35" t="str">
        <x:v>MRI scan (MRI_Performed=Yes, MRI_Results=Abnormal)</x:v>
      </x:c>
      <x:c r="K23" s="35" t="str">
        <x:v>match</x:v>
      </x:c>
      <x:c r="L23" s="35" t="str">
        <x:v>Dear Dr, Re: Mr James Joyce DOB 17/11/1979 Diagnosis: Focal epilepsy secondary to Tuberous sclerosis Medication: Sodium valproate 500mg bd Eslicarbazepine 800mg od Previous medications tried include levetiracetam and carbazmazepine I revealed Mr Joyce for the first time today. He came to clinic with his sister.As you know she he has a diagnosis of tuberous sclerosis stop his epilepsy was first diagnosed at the age of 6. He is reasonably stable from it too brisk rossis pov. His last MRI scan was around 10 years ago and was abnormal showing Sam tuber's in the frontal and temporal loops. Mr Joyce has different types of seizures. Focal frontal lobe seizures consist of stiffening with posturing of an arm lasting around a minute. These currently occur around 4-5 times a month. He also gets focal to bilateral convulsive seizures and these haven't happened for several years now. As a child he also had drop attacks but they haven't happened in adulthood. James has been on the current combination of medication for some time and he seems to be tolerating them well. In the past he's tried levetiracetam and carbamazepine and it sounds like the levetiracetam may have caused mood disturbances. I…</x:v>
      </x:c>
      <x:c r="M23" s="35" t="str">
        <x:v>docs/research/exectv2_category_cut_representative_examples_2026-08-08.md</x:v>
      </x:c>
      <x:c r="N23" s="35" t="str">
        <x:v>experiments/category_cut_representative_examples_20260808.json</x:v>
      </x:c>
    </x:row>
    <x:row r="24" ht="72" customHeight="1">
      <x:c r="A24" s="34" t="str">
        <x:v>ExECTv2</x:v>
      </x:c>
      <x:c r="B24" s="34" t="str">
        <x:v>Investigations</x:v>
      </x:c>
      <x:c r="C24" s="34" t="str">
        <x:v>ct_normal</x:v>
      </x:c>
      <x:c r="D24" s="34" t="str">
        <x:v>EA0073</x:v>
      </x:c>
      <x:c r="E24" s="35" t="str">
        <x:v>CT (CT_Performed=Yes, CT_Results=Normal)</x:v>
      </x:c>
      <x:c r="F24" s="35" t="str">
        <x:v>CT (CT_Performed=Yes)</x:v>
      </x:c>
      <x:c r="G24" s="35" t="str">
        <x:v>differs</x:v>
      </x:c>
      <x:c r="H24" s="35" t="str">
        <x:v>CT (CT_Performed=Yes, CT_Results=Normal)</x:v>
      </x:c>
      <x:c r="I24" s="35" t="str">
        <x:v>match</x:v>
      </x:c>
      <x:c r="J24" s="35" t="str">
        <x:v>CT (CT_Performed=Yes, CT_Results=Normal)</x:v>
      </x:c>
      <x:c r="K24" s="35" t="str">
        <x:v>match</x:v>
      </x:c>
      <x:c r="L24" s="35" t="str">
        <x:v>The epilepsy serivce Our Ref: M768493 NHS No: 495 562 1252 Date: 18/10/2019 Clinic Date 12/10/2019 Dear Dr r.e. Georgina Jones D.O.B: 11/02/1945 Hafan, 38 Port Street, Bridestart, Llanelli SA43 9EB Mrs Jones was reviewed in the Neurology first fit clinic today via telephone consultation. She was referred from the A&amp;E department in Morriston Hospital, following a recent episode of collapse. She is a 74-year-old female with a background of ischaemic heart disease, hypertension, and diabetes. Her current medication includes clopidogrel 75mg OD, Ramipril 2.5mg OD, and metformin 500mg BD. Mrs Jones lives alone and is normally very active. She continues to drive and is independent of activities of daily living. She is an ex-smoker and does not drink any alcohol. We discussed the collapse episode which occurred 6 weeks prior to this review. Whilst sitting in a chair at home, Mrs Jones suddenly felt her heart racing and had some mild central chest pain. She next recalls waking up on the floor with her daughter kneeling next to her. Whilst on the floor she was witnessed to have mild jerking of her limbs for a few seconds. On regaining consciousness, she was orientated to time and place, wit…</x:v>
      </x:c>
      <x:c r="M24" s="35" t="str">
        <x:v>docs/research/exectv2_category_cut_representative_examples_2026-08-08.md</x:v>
      </x:c>
      <x:c r="N24" s="35" t="str">
        <x:v>experiments/category_cut_representative_examples_20260808.json</x:v>
      </x:c>
    </x:row>
    <x:row r="25" ht="72" customHeight="1">
      <x:c r="A25" s="34" t="str">
        <x:v>ExECTv2</x:v>
      </x:c>
      <x:c r="B25" s="34" t="str">
        <x:v>Investigations</x:v>
      </x:c>
      <x:c r="C25" s="34" t="str">
        <x:v>ct_abnormal</x:v>
      </x:c>
      <x:c r="D25" s="34" t="str">
        <x:v>EA0169</x:v>
      </x:c>
      <x:c r="E25" s="35" t="str">
        <x:v>CT (CT_Performed=Yes, CT_Results=Abnormal) | MRI (MRI_Performed=Yes, MRI_Results=Normal)</x:v>
      </x:c>
      <x:c r="F25" s="35" t="str">
        <x:v>CT (CT_Performed=Yes, CT_Results=Abnormal) | MRI (MRI_Performed=Yes, MRI_Results=Normal)</x:v>
      </x:c>
      <x:c r="G25" s="35" t="str">
        <x:v>match</x:v>
      </x:c>
      <x:c r="H25" s="35" t="str">
        <x:v>CT scan (CT_Performed=Yes, CT_Results=Abnormal) | MRI (MRI_Performed=Yes, MRI_Results=Normal)</x:v>
      </x:c>
      <x:c r="I25" s="35" t="str">
        <x:v>match</x:v>
      </x:c>
      <x:c r="J25" s="35" t="str">
        <x:v>CT scan (CT_Performed=Yes, CT_Results=Abnormal) | MRI (MRI_Performed=Yes, MRI_Results=Normal)</x:v>
      </x:c>
      <x:c r="K25" s="35" t="str">
        <x:v>match</x:v>
      </x:c>
      <x:c r="L25" s="35" t="str">
        <x:v>Dear Dr Pooled Re: Ms Haana Habley D.O.B 30/01/1972 I reviewed this 41 year old lady with symptomatic epilepsy due to previous neurocysticercosis. She gets frequent focal dyscognitive seizures in clusters. Last week she had around 10-15 of these seizures over 2 days. There was no obvious provoking factor. As you know she had an abnormal CT scan in 2000 which showed calcifications consistent with her neurocysticercosis. A recent MRI in 2011 was normal. She has previously tried levetiracetam but it caused mood disturbance and is now taking lamotrigine 150mg bd. We discussed various treatment options. Mrs Habley does not want any further children and this will leave more options in terms of drug treatment. We decided to try and increase in the lamotrigine in the first instance. Please increase by 25mg every fortnight until she is taking 200mg bd. If this increase is not successful then I would suggest introducing zonisamide 25mg od increasing by 25mg every fortnight to a ta…</x:v>
      </x:c>
      <x:c r="M25" s="35" t="str">
        <x:v>docs/research/exectv2_category_cut_representative_examples_2026-08-08.md</x:v>
      </x:c>
      <x:c r="N25" s="35" t="str">
        <x:v>experiments/category_cut_representative_examples_20260808.json</x:v>
      </x:c>
    </x:row>
    <x:row r="26" ht="72" customHeight="1">
      <x:c r="A26" s="34" t="str">
        <x:v>ExECTv2</x:v>
      </x:c>
      <x:c r="B26" s="34" t="str">
        <x:v>Investigations</x:v>
      </x:c>
      <x:c r="C26" s="34" t="str">
        <x:v>ct_unknown_or_unstated</x:v>
      </x:c>
      <x:c r="D26" s="34" t="str">
        <x:v>EA0062</x:v>
      </x:c>
      <x:c r="E26" s="35" t="str">
        <x:v>CT (CT_Performed=Yes, CT_Results=Unknown)</x:v>
      </x:c>
      <x:c r="F26" s="35" t="str">
        <x:v>CT (CT_Performed=Yes, CT_Results=Normal) | MRI (MRI_Performed=Yes)</x:v>
      </x:c>
      <x:c r="G26" s="35" t="str">
        <x:v>differs</x:v>
      </x:c>
      <x:c r="H26" s="35" t="str">
        <x:v>CT (CT_Performed=Yes, CT_Results=Unknown)</x:v>
      </x:c>
      <x:c r="I26" s="35" t="str">
        <x:v>match</x:v>
      </x:c>
      <x:c r="J26" s="35" t="str">
        <x:v>CT (CT_Performed=Yes, CT_Results=Unknown)</x:v>
      </x:c>
      <x:c r="K26" s="35" t="str">
        <x:v>match</x:v>
      </x:c>
      <x:c r="L26" s="35" t="str">
        <x:v>Our Ref ABC/SW/T4888786 NHS No 4221549987 Clinic Date 2/4/2014 The Epilepsy service Dear Dr r.e. Ms Lydia Lavender Flat 2, Heol y Blodau, Treneis. SA12 8RH I reviewed the 28-year-old woman in clinic today, she came alone. She has had several episodes over the last two years, perhaps six in total. I phoned her sister who has witnessed several of these episodes, they have occured when she has been awake and when she has been asleep. Her eyes stay open and she will go stiff during them. Sometimes her muscles will ache for days afterwards. She has not had any episodes of myoclonus and photsensitivity doesnt seem to be an issue for her She used to live in London and may have had a few seizures when she was younger but cant remember much about this. She thinks that she was born normally and there is no history of meningitis or significant head injury. She has moderate asthma for which she takes inhalers. She works part time in a bar at the moment and lives with her sister. She had a CT head in 2013 and an ECG in clinic today shows a sinus rhythm of 72 bpm, a normal QT interval and normal QRS morphology. Impression. I think that the most likely diagnosis is epilepsy. Comments. I explained…</x:v>
      </x:c>
      <x:c r="M26" s="35" t="str">
        <x:v>docs/research/exectv2_category_cut_representative_examples_2026-08-08.md</x:v>
      </x:c>
      <x:c r="N26" s="35" t="str">
        <x:v>experiments/category_cut_representative_examples_20260808.json</x:v>
      </x:c>
    </x:row>
  </x:sheetData>
  <x:conditionalFormatting sqref="G2:G26">
    <x:cfRule type="containsText" dxfId="0" priority="1" operator="containsText" text="differs"/>
    <x:cfRule type="containsText" dxfId="3" priority="4" operator="containsText" text="match"/>
  </x:conditionalFormatting>
  <x:conditionalFormatting sqref="I2:I26">
    <x:cfRule type="containsText" dxfId="1" priority="2" operator="containsText" text="differs"/>
    <x:cfRule type="containsText" dxfId="4" priority="5" operator="containsText" text="match"/>
  </x:conditionalFormatting>
  <x:conditionalFormatting sqref="K2:K26">
    <x:cfRule type="containsText" dxfId="2" priority="3" operator="containsText" text="differs"/>
    <x:cfRule type="containsText" dxfId="5" priority="6" operator="containsText" text="match"/>
  </x:conditionalFormatting>
  <x:pageMargins left="0.7" right="0.7" top="0.75" bottom="0.75" header="0.3" footer="0.3"/>
  <x:tableParts count="1">
    <x:tablePart xmlns:r="http://schemas.openxmlformats.org/officeDocument/2006/relationships" r:id="R332a3a38083e4aa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3" max="3" width="15" hidden="0" customWidth="1"/>
    <x:col min="4" max="4" width="15" hidden="0" customWidth="1"/>
    <x:col min="6" max="6" width="15" hidden="0" customWidth="1"/>
    <x:col min="7" max="7" width="15" hidden="0" customWidth="1"/>
    <x:col min="11" max="11" width="15" hidden="0" customWidth="1"/>
    <x:col min="13" max="13" width="15" hidden="0" customWidth="1"/>
    <x:col min="14" max="14" width="15" hidden="0" customWidth="1"/>
    <x:col min="2" max="2" width="30" hidden="0" customWidth="1"/>
    <x:col min="5" max="5" width="28" hidden="0" customWidth="1"/>
    <x:col min="8" max="8" width="32" hidden="0" customWidth="1"/>
    <x:col min="9" max="9" width="32" hidden="0" customWidth="1"/>
    <x:col min="10" max="10" width="32" hidden="0" customWidth="1"/>
    <x:col min="12" max="12" width="64" hidden="0" customWidth="1"/>
    <x:col min="15" max="15" width="54" hidden="0" customWidth="1"/>
    <x:col min="16" max="16" width="54" hidden="0" customWidth="1"/>
  </x:cols>
  <x:sheetData>
    <x:row r="1">
      <x:c r="A1" s="37" t="str">
        <x:v>Task</x:v>
      </x:c>
      <x:c r="B1" s="37" t="str">
        <x:v>Slice</x:v>
      </x:c>
      <x:c r="C1" s="37" t="str">
        <x:v>Surface</x:v>
      </x:c>
      <x:c r="D1" s="37" t="str">
        <x:v>Classification level</x:v>
      </x:c>
      <x:c r="E1" s="37" t="str">
        <x:v>Error mode</x:v>
      </x:c>
      <x:c r="F1" s="37" t="str">
        <x:v>Row ID</x:v>
      </x:c>
      <x:c r="G1" s="37" t="str">
        <x:v>Model</x:v>
      </x:c>
      <x:c r="H1" s="37" t="str">
        <x:v>Gold</x:v>
      </x:c>
      <x:c r="I1" s="37" t="str">
        <x:v>Prediction</x:v>
      </x:c>
      <x:c r="J1" s="37" t="str">
        <x:v>Hybrid final</x:v>
      </x:c>
      <x:c r="K1" s="37" t="str">
        <x:v>Hybrid outcome</x:v>
      </x:c>
      <x:c r="L1" s="37" t="str">
        <x:v>Evidence or predicted mentions</x:v>
      </x:c>
      <x:c r="M1" s="37" t="str">
        <x:v>Consensus flag</x:v>
      </x:c>
      <x:c r="N1" s="37" t="str">
        <x:v>Near miss</x:v>
      </x:c>
      <x:c r="O1" s="37" t="str">
        <x:v>Report owner</x:v>
      </x:c>
      <x:c r="P1" s="37" t="str">
        <x:v>Artifact owner</x:v>
      </x:c>
    </x:row>
    <x:row r="2" ht="66" customHeight="1">
      <x:c r="A2" s="34" t="str">
        <x:v>Gan 2026</x:v>
      </x:c>
      <x:c r="B2" s="34" t="str">
        <x:v>cluster_burden_llm</x:v>
      </x:c>
      <x:c r="C2" s="34" t="str">
        <x:v>llm</x:v>
      </x:c>
      <x:c r="D2" s="34" t="str">
        <x:v>scored label</x:v>
      </x:c>
      <x:c r="E2" s="34" t="str">
        <x:v>collapse_to_no_reference</x:v>
      </x:c>
      <x:c r="F2" s="34" t="str">
        <x:v>15404</x:v>
      </x:c>
      <x:c r="G2" s="34" t="str">
        <x:v>GPT-5.6 Sol</x:v>
      </x:c>
      <x:c r="H2" s="35" t="str">
        <x:v>1 cluster per 4 month, 3 to 4 per cluster</x:v>
      </x:c>
      <x:c r="I2" s="35" t="str">
        <x:v>no seizure frequency reference</x:v>
      </x:c>
      <x:c r="J2" s="35" t="str"/>
      <x:c r="K2" s="35" t="str"/>
      <x:c r="L2" s="35" t="str">
        <x:v>clusters of three - four seizures in a single day</x:v>
      </x:c>
      <x:c r="M2" s="35" t="str">
        <x:v>all six</x:v>
      </x:c>
      <x:c r="N2" s="35" t="str">
        <x:v>no</x:v>
      </x:c>
      <x:c r="O2" s="35" t="str">
        <x:v>docs/research/six_model_hard_slice_error_mode_examples_2026-08-06.md</x:v>
      </x:c>
      <x:c r="P2" s="35" t="str">
        <x:v>experiments/six_model_hard_slice_error_mode_examples_20260806.json</x:v>
      </x:c>
    </x:row>
    <x:row r="3" ht="66" customHeight="1">
      <x:c r="A3" s="34" t="str">
        <x:v>Gan 2026</x:v>
      </x:c>
      <x:c r="B3" s="34" t="str">
        <x:v>cluster_burden_llm</x:v>
      </x:c>
      <x:c r="C3" s="34" t="str">
        <x:v>llm</x:v>
      </x:c>
      <x:c r="D3" s="34" t="str">
        <x:v>scored label</x:v>
      </x:c>
      <x:c r="E3" s="34" t="str">
        <x:v>collapse_to_no_reference</x:v>
      </x:c>
      <x:c r="F3" s="34" t="str">
        <x:v>15429</x:v>
      </x:c>
      <x:c r="G3" s="34" t="str">
        <x:v>GPT-5.6 Sol</x:v>
      </x:c>
      <x:c r="H3" s="35" t="str">
        <x:v>1 cluster per 2 month, 4 per cluster</x:v>
      </x:c>
      <x:c r="I3" s="35" t="str">
        <x:v>no seizure frequency reference</x:v>
      </x:c>
      <x:c r="J3" s="35" t="str"/>
      <x:c r="K3" s="35" t="str"/>
      <x:c r="L3" s="35" t="str">
        <x:v>She may remain seizure-free for up to two month, but then will experience clusters of four seizures in a single day.</x:v>
      </x:c>
      <x:c r="M3" s="35" t="str">
        <x:v>all six</x:v>
      </x:c>
      <x:c r="N3" s="35" t="str">
        <x:v>no</x:v>
      </x:c>
      <x:c r="O3" s="35" t="str">
        <x:v>docs/research/six_model_hard_slice_error_mode_examples_2026-08-06.md</x:v>
      </x:c>
      <x:c r="P3" s="35" t="str">
        <x:v>experiments/six_model_hard_slice_error_mode_examples_20260806.json</x:v>
      </x:c>
    </x:row>
    <x:row r="4" ht="66" customHeight="1">
      <x:c r="A4" s="34" t="str">
        <x:v>Gan 2026</x:v>
      </x:c>
      <x:c r="B4" s="34" t="str">
        <x:v>cluster_burden_llm</x:v>
      </x:c>
      <x:c r="C4" s="34" t="str">
        <x:v>llm</x:v>
      </x:c>
      <x:c r="D4" s="34" t="str">
        <x:v>scored label</x:v>
      </x:c>
      <x:c r="E4" s="34" t="str">
        <x:v>collapse_to_unknown</x:v>
      </x:c>
      <x:c r="F4" s="34" t="str">
        <x:v>10097</x:v>
      </x:c>
      <x:c r="G4" s="34" t="str">
        <x:v>GPT-5.6 Sol</x:v>
      </x:c>
      <x:c r="H4" s="35" t="str">
        <x:v>3 cluster per month, multiple per cluster</x:v>
      </x:c>
      <x:c r="I4" s="35" t="str">
        <x:v>unknown</x:v>
      </x:c>
      <x:c r="J4" s="35" t="str"/>
      <x:c r="K4" s="35" t="str"/>
      <x:c r="L4" s="35" t="str">
        <x:v>Since the last review, the patient reports nocturnal clusters 3×/month</x:v>
      </x:c>
      <x:c r="M4" s="35" t="str">
        <x:v>all six</x:v>
      </x:c>
      <x:c r="N4" s="35" t="str">
        <x:v>no</x:v>
      </x:c>
      <x:c r="O4" s="35" t="str">
        <x:v>docs/research/six_model_hard_slice_error_mode_examples_2026-08-06.md</x:v>
      </x:c>
      <x:c r="P4" s="35" t="str">
        <x:v>experiments/six_model_hard_slice_error_mode_examples_20260806.json</x:v>
      </x:c>
    </x:row>
    <x:row r="5" ht="66" customHeight="1">
      <x:c r="A5" s="34" t="str">
        <x:v>Gan 2026</x:v>
      </x:c>
      <x:c r="B5" s="34" t="str">
        <x:v>cluster_burden_llm</x:v>
      </x:c>
      <x:c r="C5" s="34" t="str">
        <x:v>llm</x:v>
      </x:c>
      <x:c r="D5" s="34" t="str">
        <x:v>scored label</x:v>
      </x:c>
      <x:c r="E5" s="34" t="str">
        <x:v>collapse_to_unknown</x:v>
      </x:c>
      <x:c r="F5" s="34" t="str">
        <x:v>10237</x:v>
      </x:c>
      <x:c r="G5" s="34" t="str">
        <x:v>GPT-5.6 Sol</x:v>
      </x:c>
      <x:c r="H5" s="35" t="str">
        <x:v>4 cluster per month, multiple per cluster</x:v>
      </x:c>
      <x:c r="I5" s="35" t="str">
        <x:v>unknown</x:v>
      </x:c>
      <x:c r="J5" s="35" t="str"/>
      <x:c r="K5" s="35" t="str"/>
      <x:c r="L5" s="35" t="str">
        <x:v>Cluster frequency unclear this month; last month ≈4 clusters.</x:v>
      </x:c>
      <x:c r="M5" s="35" t="str">
        <x:v>all six</x:v>
      </x:c>
      <x:c r="N5" s="35" t="str">
        <x:v>no</x:v>
      </x:c>
      <x:c r="O5" s="35" t="str">
        <x:v>docs/research/six_model_hard_slice_error_mode_examples_2026-08-06.md</x:v>
      </x:c>
      <x:c r="P5" s="35" t="str">
        <x:v>experiments/six_model_hard_slice_error_mode_examples_20260806.json</x:v>
      </x:c>
    </x:row>
    <x:row r="6" ht="66" customHeight="1">
      <x:c r="A6" s="34" t="str">
        <x:v>Gan 2026</x:v>
      </x:c>
      <x:c r="B6" s="34" t="str">
        <x:v>cluster_burden_llm</x:v>
      </x:c>
      <x:c r="C6" s="34" t="str">
        <x:v>llm</x:v>
      </x:c>
      <x:c r="D6" s="34" t="str">
        <x:v>scored label</x:v>
      </x:c>
      <x:c r="E6" s="34" t="str">
        <x:v>dropped_to_smooth_rate</x:v>
      </x:c>
      <x:c r="F6" s="34" t="str">
        <x:v>9943</x:v>
      </x:c>
      <x:c r="G6" s="34" t="str">
        <x:v>GPT-5.6 Sol</x:v>
      </x:c>
      <x:c r="H6" s="35" t="str">
        <x:v>1 cluster per 4 to 5 week, multiple per cluster</x:v>
      </x:c>
      <x:c r="I6" s="35" t="str">
        <x:v>1 per 4 to 5 week</x:v>
      </x:c>
      <x:c r="J6" s="35" t="str"/>
      <x:c r="K6" s="35" t="str"/>
      <x:c r="L6" s="35" t="str">
        <x:v>the events tend to group together over several days in a repeating pattern roughly every four to five weeks</x:v>
      </x:c>
      <x:c r="M6" s="35" t="str">
        <x:v>all six</x:v>
      </x:c>
      <x:c r="N6" s="35" t="str">
        <x:v>no</x:v>
      </x:c>
      <x:c r="O6" s="35" t="str">
        <x:v>docs/research/six_model_hard_slice_error_mode_examples_2026-08-06.md</x:v>
      </x:c>
      <x:c r="P6" s="35" t="str">
        <x:v>experiments/six_model_hard_slice_error_mode_examples_20260806.json</x:v>
      </x:c>
    </x:row>
    <x:row r="7" ht="66" customHeight="1">
      <x:c r="A7" s="34" t="str">
        <x:v>Gan 2026</x:v>
      </x:c>
      <x:c r="B7" s="34" t="str">
        <x:v>cluster_burden_llm</x:v>
      </x:c>
      <x:c r="C7" s="34" t="str">
        <x:v>llm</x:v>
      </x:c>
      <x:c r="D7" s="34" t="str">
        <x:v>scored label</x:v>
      </x:c>
      <x:c r="E7" s="34" t="str">
        <x:v>dropped_to_smooth_rate</x:v>
      </x:c>
      <x:c r="F7" s="34" t="str">
        <x:v>10434</x:v>
      </x:c>
      <x:c r="G7" s="34" t="str">
        <x:v>GPT-5.6 Luna</x:v>
      </x:c>
      <x:c r="H7" s="35" t="str">
        <x:v>multiple cluster per week, 2 to 3 per cluster</x:v>
      </x:c>
      <x:c r="I7" s="35" t="str">
        <x:v>multiple per week</x:v>
      </x:c>
      <x:c r="J7" s="35" t="str"/>
      <x:c r="K7" s="35" t="str"/>
      <x:c r="L7" s="35" t="str">
        <x:v>occurring on several mornings each week</x:v>
      </x:c>
      <x:c r="M7" s="35" t="str">
        <x:v>all six</x:v>
      </x:c>
      <x:c r="N7" s="35" t="str">
        <x:v>no</x:v>
      </x:c>
      <x:c r="O7" s="35" t="str">
        <x:v>docs/research/six_model_hard_slice_error_mode_examples_2026-08-06.md</x:v>
      </x:c>
      <x:c r="P7" s="35" t="str">
        <x:v>experiments/six_model_hard_slice_error_mode_examples_20260806.json</x:v>
      </x:c>
    </x:row>
    <x:row r="8" ht="66" customHeight="1">
      <x:c r="A8" s="34" t="str">
        <x:v>Gan 2026</x:v>
      </x:c>
      <x:c r="B8" s="34" t="str">
        <x:v>cluster_burden_llm</x:v>
      </x:c>
      <x:c r="C8" s="34" t="str">
        <x:v>llm</x:v>
      </x:c>
      <x:c r="D8" s="34" t="str">
        <x:v>scored label</x:v>
      </x:c>
      <x:c r="E8" s="34" t="str">
        <x:v>false_seizure_free</x:v>
      </x:c>
      <x:c r="F8" s="34" t="str">
        <x:v>15519</x:v>
      </x:c>
      <x:c r="G8" s="34" t="str">
        <x:v>GPT-4.1-mini</x:v>
      </x:c>
      <x:c r="H8" s="35" t="str">
        <x:v>1 cluster per 4 day, 3 per cluster</x:v>
      </x:c>
      <x:c r="I8" s="35" t="str">
        <x:v>seizure free for multiple year</x:v>
      </x:c>
      <x:c r="J8" s="35" t="str"/>
      <x:c r="K8" s="35" t="str"/>
      <x:c r="L8" s="35" t="str">
        <x:v>He may go four days without seizures, but when they happen he often has them in batches, with three occurring within 24 hours.</x:v>
      </x:c>
      <x:c r="M8" s="35" t="str">
        <x:v>not all six</x:v>
      </x:c>
      <x:c r="N8" s="35" t="str">
        <x:v>no</x:v>
      </x:c>
      <x:c r="O8" s="35" t="str">
        <x:v>docs/research/six_model_hard_slice_error_mode_examples_2026-08-06.md</x:v>
      </x:c>
      <x:c r="P8" s="35" t="str">
        <x:v>experiments/six_model_hard_slice_error_mode_examples_20260806.json</x:v>
      </x:c>
    </x:row>
    <x:row r="9" ht="66" customHeight="1">
      <x:c r="A9" s="34" t="str">
        <x:v>Gan 2026</x:v>
      </x:c>
      <x:c r="B9" s="34" t="str">
        <x:v>cluster_burden_llm</x:v>
      </x:c>
      <x:c r="C9" s="34" t="str">
        <x:v>llm</x:v>
      </x:c>
      <x:c r="D9" s="34" t="str">
        <x:v>scored label</x:v>
      </x:c>
      <x:c r="E9" s="34" t="str">
        <x:v>parse_or_call_failure</x:v>
      </x:c>
      <x:c r="F9" s="34" t="str">
        <x:v>15519</x:v>
      </x:c>
      <x:c r="G9" s="34" t="str">
        <x:v>Qwen 3.6:35B</x:v>
      </x:c>
      <x:c r="H9" s="35" t="str">
        <x:v>1 cluster per 4 day, 3 per cluster</x:v>
      </x:c>
      <x:c r="I9" s="35" t="str"/>
      <x:c r="J9" s="35" t="str"/>
      <x:c r="K9" s="35" t="str"/>
      <x:c r="L9" s="35" t="str"/>
      <x:c r="M9" s="35" t="str">
        <x:v>not all six</x:v>
      </x:c>
      <x:c r="N9" s="35" t="str">
        <x:v>no</x:v>
      </x:c>
      <x:c r="O9" s="35" t="str">
        <x:v>docs/research/six_model_hard_slice_error_mode_examples_2026-08-06.md</x:v>
      </x:c>
      <x:c r="P9" s="35" t="str">
        <x:v>experiments/six_model_hard_slice_error_mode_examples_20260806.json</x:v>
      </x:c>
    </x:row>
    <x:row r="10" ht="66" customHeight="1">
      <x:c r="A10" s="34" t="str">
        <x:v>Gan 2026</x:v>
      </x:c>
      <x:c r="B10" s="34" t="str">
        <x:v>cluster_burden_llm</x:v>
      </x:c>
      <x:c r="C10" s="34" t="str">
        <x:v>llm</x:v>
      </x:c>
      <x:c r="D10" s="34" t="str">
        <x:v>scored label</x:v>
      </x:c>
      <x:c r="E10" s="34" t="str">
        <x:v>wrong_cluster_parameters</x:v>
      </x:c>
      <x:c r="F10" s="34" t="str">
        <x:v>17135</x:v>
      </x:c>
      <x:c r="G10" s="34" t="str">
        <x:v>GPT-5.6 Sol</x:v>
      </x:c>
      <x:c r="H10" s="35" t="str">
        <x:v>5 cluster per month, multiple per cluster</x:v>
      </x:c>
      <x:c r="I10" s="35" t="str">
        <x:v>1 cluster per month, multiple per cluster</x:v>
      </x:c>
      <x:c r="J10" s="35" t="str"/>
      <x:c r="K10" s="35" t="str"/>
      <x:c r="L10" s="35" t="str">
        <x:v>He suffers clusters of absence seizures on five days each month.</x:v>
      </x:c>
      <x:c r="M10" s="35" t="str">
        <x:v>all six</x:v>
      </x:c>
      <x:c r="N10" s="35" t="str">
        <x:v>no</x:v>
      </x:c>
      <x:c r="O10" s="35" t="str">
        <x:v>docs/research/six_model_hard_slice_error_mode_examples_2026-08-06.md</x:v>
      </x:c>
      <x:c r="P10" s="35" t="str">
        <x:v>experiments/six_model_hard_slice_error_mode_examples_20260806.json</x:v>
      </x:c>
    </x:row>
    <x:row r="11" ht="66" customHeight="1">
      <x:c r="A11" s="34" t="str">
        <x:v>Gan 2026</x:v>
      </x:c>
      <x:c r="B11" s="34" t="str">
        <x:v>cluster_burden_llm</x:v>
      </x:c>
      <x:c r="C11" s="34" t="str">
        <x:v>llm</x:v>
      </x:c>
      <x:c r="D11" s="34" t="str">
        <x:v>scored label</x:v>
      </x:c>
      <x:c r="E11" s="34" t="str">
        <x:v>wrong_cluster_parameters</x:v>
      </x:c>
      <x:c r="F11" s="34" t="str">
        <x:v>3242</x:v>
      </x:c>
      <x:c r="G11" s="34" t="str">
        <x:v>GPT-4.1-mini</x:v>
      </x:c>
      <x:c r="H11" s="35" t="str">
        <x:v>2 cluster per month, 5 per cluster</x:v>
      </x:c>
      <x:c r="I11" s="35" t="str">
        <x:v>2 cluster per month, multiple per cluster</x:v>
      </x:c>
      <x:c r="J11" s="35" t="str"/>
      <x:c r="K11" s="35" t="str"/>
      <x:c r="L11" s="35" t="str">
        <x:v>Over the past four weeks he reports 2 clusters this month</x:v>
      </x:c>
      <x:c r="M11" s="35" t="str">
        <x:v>not all six</x:v>
      </x:c>
      <x:c r="N11" s="35" t="str">
        <x:v>no</x:v>
      </x:c>
      <x:c r="O11" s="35" t="str">
        <x:v>docs/research/six_model_hard_slice_error_mode_examples_2026-08-06.md</x:v>
      </x:c>
      <x:c r="P11" s="35" t="str">
        <x:v>experiments/six_model_hard_slice_error_mode_examples_20260806.json</x:v>
      </x:c>
    </x:row>
    <x:row r="12" ht="66" customHeight="1">
      <x:c r="A12" s="34" t="str">
        <x:v>Gan 2026</x:v>
      </x:c>
      <x:c r="B12" s="34" t="str">
        <x:v>cluster_burden_llm</x:v>
      </x:c>
      <x:c r="C12" s="34" t="str">
        <x:v>llm</x:v>
      </x:c>
      <x:c r="D12" s="34" t="str">
        <x:v>model boundary</x:v>
      </x:c>
      <x:c r="E12" s="34" t="str">
        <x:v>collapse_to_unknown</x:v>
      </x:c>
      <x:c r="F12" s="34" t="str">
        <x:v>15242</x:v>
      </x:c>
      <x:c r="G12" s="34" t="str">
        <x:v>GPT-5.6 Sol</x:v>
      </x:c>
      <x:c r="H12" s="35" t="str">
        <x:v>multiple cluster per 15 month, multiple per cluster</x:v>
      </x:c>
      <x:c r="I12" s="35" t="str">
        <x:v>unknown</x:v>
      </x:c>
      <x:c r="J12" s="35" t="str"/>
      <x:c r="K12" s="35" t="str"/>
      <x:c r="L12" s="35" t="str">
        <x:v>occasional clusters of myoclonic jerks persisting</x:v>
      </x:c>
      <x:c r="M12" s="35" t="str">
        <x:v>all six</x:v>
      </x:c>
      <x:c r="N12" s="35" t="str">
        <x:v>no</x:v>
      </x:c>
      <x:c r="O12" s="35" t="str">
        <x:v>docs/research/six_model_hard_slice_error_mode_examples_2026-08-06.md</x:v>
      </x:c>
      <x:c r="P12" s="35" t="str">
        <x:v>experiments/six_model_hard_slice_error_mode_examples_20260806.json</x:v>
      </x:c>
    </x:row>
    <x:row r="13" ht="66" customHeight="1">
      <x:c r="A13" s="34" t="str">
        <x:v>Gan 2026</x:v>
      </x:c>
      <x:c r="B13" s="34" t="str">
        <x:v>cluster_burden_llm</x:v>
      </x:c>
      <x:c r="C13" s="34" t="str">
        <x:v>llm</x:v>
      </x:c>
      <x:c r="D13" s="34" t="str">
        <x:v>model boundary</x:v>
      </x:c>
      <x:c r="E13" s="34" t="str">
        <x:v>collapse_to_unknown</x:v>
      </x:c>
      <x:c r="F13" s="34" t="str">
        <x:v>15262</x:v>
      </x:c>
      <x:c r="G13" s="34" t="str">
        <x:v>GPT-5.6 Sol</x:v>
      </x:c>
      <x:c r="H13" s="35" t="str">
        <x:v>multiple cluster per 13 month, multiple per cluster</x:v>
      </x:c>
      <x:c r="I13" s="35" t="str">
        <x:v>unknown</x:v>
      </x:c>
      <x:c r="J13" s="35" t="str"/>
      <x:c r="K13" s="35" t="str"/>
      <x:c r="L13" s="35" t="str">
        <x:v>episodes are now occurring predominantly in bright, high‑noise environments</x:v>
      </x:c>
      <x:c r="M13" s="35" t="str">
        <x:v>all six</x:v>
      </x:c>
      <x:c r="N13" s="35" t="str">
        <x:v>no</x:v>
      </x:c>
      <x:c r="O13" s="35" t="str">
        <x:v>docs/research/six_model_hard_slice_error_mode_examples_2026-08-06.md</x:v>
      </x:c>
      <x:c r="P13" s="35" t="str">
        <x:v>experiments/six_model_hard_slice_error_mode_examples_20260806.json</x:v>
      </x:c>
    </x:row>
    <x:row r="14" ht="66" customHeight="1">
      <x:c r="A14" s="34" t="str">
        <x:v>Gan 2026</x:v>
      </x:c>
      <x:c r="B14" s="34" t="str">
        <x:v>cluster_burden_llm</x:v>
      </x:c>
      <x:c r="C14" s="34" t="str">
        <x:v>llm</x:v>
      </x:c>
      <x:c r="D14" s="34" t="str">
        <x:v>model boundary</x:v>
      </x:c>
      <x:c r="E14" s="34" t="str">
        <x:v>dropped_to_smooth_rate</x:v>
      </x:c>
      <x:c r="F14" s="34" t="str">
        <x:v>10434</x:v>
      </x:c>
      <x:c r="G14" s="34" t="str">
        <x:v>GPT-5.6 Luna</x:v>
      </x:c>
      <x:c r="H14" s="35" t="str">
        <x:v>multiple cluster per week, 2 to 3 per cluster</x:v>
      </x:c>
      <x:c r="I14" s="35" t="str">
        <x:v>multiple per week</x:v>
      </x:c>
      <x:c r="J14" s="35" t="str"/>
      <x:c r="K14" s="35" t="str"/>
      <x:c r="L14" s="35" t="str">
        <x:v>occurring on several mornings each week</x:v>
      </x:c>
      <x:c r="M14" s="35" t="str">
        <x:v>all six</x:v>
      </x:c>
      <x:c r="N14" s="35" t="str">
        <x:v>no</x:v>
      </x:c>
      <x:c r="O14" s="35" t="str">
        <x:v>docs/research/six_model_hard_slice_error_mode_examples_2026-08-06.md</x:v>
      </x:c>
      <x:c r="P14" s="35" t="str">
        <x:v>experiments/six_model_hard_slice_error_mode_examples_20260806.json</x:v>
      </x:c>
    </x:row>
    <x:row r="15" ht="66" customHeight="1">
      <x:c r="A15" s="34" t="str">
        <x:v>Gan 2026</x:v>
      </x:c>
      <x:c r="B15" s="34" t="str">
        <x:v>cluster_burden_llm</x:v>
      </x:c>
      <x:c r="C15" s="34" t="str">
        <x:v>llm</x:v>
      </x:c>
      <x:c r="D15" s="34" t="str">
        <x:v>model boundary</x:v>
      </x:c>
      <x:c r="E15" s="34" t="str">
        <x:v>dropped_to_smooth_rate</x:v>
      </x:c>
      <x:c r="F15" s="34" t="str">
        <x:v>10097</x:v>
      </x:c>
      <x:c r="G15" s="34" t="str">
        <x:v>GPT-4.1-mini</x:v>
      </x:c>
      <x:c r="H15" s="35" t="str">
        <x:v>3 cluster per month, multiple per cluster</x:v>
      </x:c>
      <x:c r="I15" s="35" t="str">
        <x:v>3 per month</x:v>
      </x:c>
      <x:c r="J15" s="35" t="str"/>
      <x:c r="K15" s="35" t="str"/>
      <x:c r="L15" s="35" t="str">
        <x:v>Since the last review, the patient reports nocturnal clusters 3×/month</x:v>
      </x:c>
      <x:c r="M15" s="35" t="str">
        <x:v>all six</x:v>
      </x:c>
      <x:c r="N15" s="35" t="str">
        <x:v>no</x:v>
      </x:c>
      <x:c r="O15" s="35" t="str">
        <x:v>docs/research/six_model_hard_slice_error_mode_examples_2026-08-06.md</x:v>
      </x:c>
      <x:c r="P15" s="35" t="str">
        <x:v>experiments/six_model_hard_slice_error_mode_examples_20260806.json</x:v>
      </x:c>
    </x:row>
    <x:row r="16" ht="66" customHeight="1">
      <x:c r="A16" s="34" t="str">
        <x:v>Gan 2026</x:v>
      </x:c>
      <x:c r="B16" s="34" t="str">
        <x:v>cluster_burden_llm</x:v>
      </x:c>
      <x:c r="C16" s="34" t="str">
        <x:v>llm</x:v>
      </x:c>
      <x:c r="D16" s="34" t="str">
        <x:v>model boundary</x:v>
      </x:c>
      <x:c r="E16" s="34" t="str">
        <x:v>incomplete_cluster_grammar</x:v>
      </x:c>
      <x:c r="F16" s="34" t="str">
        <x:v>10097</x:v>
      </x:c>
      <x:c r="G16" s="34" t="str">
        <x:v>GPT-5.6 Sol</x:v>
      </x:c>
      <x:c r="H16" s="35" t="str">
        <x:v>3 cluster per month, multiple per cluster</x:v>
      </x:c>
      <x:c r="I16" s="35" t="str">
        <x:v>unknown</x:v>
      </x:c>
      <x:c r="J16" s="35" t="str"/>
      <x:c r="K16" s="35" t="str"/>
      <x:c r="L16" s="35" t="str">
        <x:v>Since the last review, the patient reports nocturnal clusters 3×/month</x:v>
      </x:c>
      <x:c r="M16" s="35" t="str">
        <x:v>all six</x:v>
      </x:c>
      <x:c r="N16" s="35" t="str">
        <x:v>no</x:v>
      </x:c>
      <x:c r="O16" s="35" t="str">
        <x:v>docs/research/six_model_hard_slice_error_mode_examples_2026-08-06.md</x:v>
      </x:c>
      <x:c r="P16" s="35" t="str">
        <x:v>experiments/six_model_hard_slice_error_mode_examples_20260806.json</x:v>
      </x:c>
    </x:row>
    <x:row r="17" ht="66" customHeight="1">
      <x:c r="A17" s="34" t="str">
        <x:v>Gan 2026</x:v>
      </x:c>
      <x:c r="B17" s="34" t="str">
        <x:v>cluster_burden_llm</x:v>
      </x:c>
      <x:c r="C17" s="34" t="str">
        <x:v>llm</x:v>
      </x:c>
      <x:c r="D17" s="34" t="str">
        <x:v>model boundary</x:v>
      </x:c>
      <x:c r="E17" s="34" t="str">
        <x:v>incomplete_cluster_grammar</x:v>
      </x:c>
      <x:c r="F17" s="34" t="str">
        <x:v>10237</x:v>
      </x:c>
      <x:c r="G17" s="34" t="str">
        <x:v>GPT-5.6 Sol</x:v>
      </x:c>
      <x:c r="H17" s="35" t="str">
        <x:v>4 cluster per month, multiple per cluster</x:v>
      </x:c>
      <x:c r="I17" s="35" t="str">
        <x:v>unknown</x:v>
      </x:c>
      <x:c r="J17" s="35" t="str"/>
      <x:c r="K17" s="35" t="str"/>
      <x:c r="L17" s="35" t="str">
        <x:v>Cluster frequency unclear this month; last month ≈4 clusters.</x:v>
      </x:c>
      <x:c r="M17" s="35" t="str">
        <x:v>all six</x:v>
      </x:c>
      <x:c r="N17" s="35" t="str">
        <x:v>no</x:v>
      </x:c>
      <x:c r="O17" s="35" t="str">
        <x:v>docs/research/six_model_hard_slice_error_mode_examples_2026-08-06.md</x:v>
      </x:c>
      <x:c r="P17" s="35" t="str">
        <x:v>experiments/six_model_hard_slice_error_mode_examples_20260806.json</x:v>
      </x:c>
    </x:row>
    <x:row r="18" ht="66" customHeight="1">
      <x:c r="A18" s="34" t="str">
        <x:v>Gan 2026</x:v>
      </x:c>
      <x:c r="B18" s="34" t="str">
        <x:v>cluster_burden_llm</x:v>
      </x:c>
      <x:c r="C18" s="34" t="str">
        <x:v>llm</x:v>
      </x:c>
      <x:c r="D18" s="34" t="str">
        <x:v>model boundary</x:v>
      </x:c>
      <x:c r="E18" s="34" t="str">
        <x:v>parse_or_call_failure</x:v>
      </x:c>
      <x:c r="F18" s="34" t="str">
        <x:v>15519</x:v>
      </x:c>
      <x:c r="G18" s="34" t="str">
        <x:v>Qwen 3.6:35B</x:v>
      </x:c>
      <x:c r="H18" s="35" t="str">
        <x:v>1 cluster per 4 day, 3 per cluster</x:v>
      </x:c>
      <x:c r="I18" s="35" t="str"/>
      <x:c r="J18" s="35" t="str"/>
      <x:c r="K18" s="35" t="str"/>
      <x:c r="L18" s="35" t="str"/>
      <x:c r="M18" s="35" t="str">
        <x:v>not all six</x:v>
      </x:c>
      <x:c r="N18" s="35" t="str">
        <x:v>no</x:v>
      </x:c>
      <x:c r="O18" s="35" t="str">
        <x:v>docs/research/six_model_hard_slice_error_mode_examples_2026-08-06.md</x:v>
      </x:c>
      <x:c r="P18" s="35" t="str">
        <x:v>experiments/six_model_hard_slice_error_mode_examples_20260806.json</x:v>
      </x:c>
    </x:row>
    <x:row r="19" ht="66" customHeight="1">
      <x:c r="A19" s="34" t="str">
        <x:v>Gan 2026</x:v>
      </x:c>
      <x:c r="B19" s="34" t="str">
        <x:v>cluster_burden_llm</x:v>
      </x:c>
      <x:c r="C19" s="34" t="str">
        <x:v>llm</x:v>
      </x:c>
      <x:c r="D19" s="34" t="str">
        <x:v>model boundary</x:v>
      </x:c>
      <x:c r="E19" s="34" t="str">
        <x:v>wrong_cluster_parameters</x:v>
      </x:c>
      <x:c r="F19" s="34" t="str">
        <x:v>15404</x:v>
      </x:c>
      <x:c r="G19" s="34" t="str">
        <x:v>GPT-5.6 Sol</x:v>
      </x:c>
      <x:c r="H19" s="35" t="str">
        <x:v>1 cluster per 4 month, 3 to 4 per cluster</x:v>
      </x:c>
      <x:c r="I19" s="35" t="str">
        <x:v>no seizure frequency reference</x:v>
      </x:c>
      <x:c r="J19" s="35" t="str"/>
      <x:c r="K19" s="35" t="str"/>
      <x:c r="L19" s="35" t="str">
        <x:v>clusters of three - four seizures in a single day</x:v>
      </x:c>
      <x:c r="M19" s="35" t="str">
        <x:v>all six</x:v>
      </x:c>
      <x:c r="N19" s="35" t="str">
        <x:v>no</x:v>
      </x:c>
      <x:c r="O19" s="35" t="str">
        <x:v>docs/research/six_model_hard_slice_error_mode_examples_2026-08-06.md</x:v>
      </x:c>
      <x:c r="P19" s="35" t="str">
        <x:v>experiments/six_model_hard_slice_error_mode_examples_20260806.json</x:v>
      </x:c>
    </x:row>
    <x:row r="20" ht="66" customHeight="1">
      <x:c r="A20" s="34" t="str">
        <x:v>Gan 2026</x:v>
      </x:c>
      <x:c r="B20" s="34" t="str">
        <x:v>cluster_burden_llm</x:v>
      </x:c>
      <x:c r="C20" s="34" t="str">
        <x:v>llm</x:v>
      </x:c>
      <x:c r="D20" s="34" t="str">
        <x:v>model boundary</x:v>
      </x:c>
      <x:c r="E20" s="34" t="str">
        <x:v>wrong_cluster_parameters</x:v>
      </x:c>
      <x:c r="F20" s="34" t="str">
        <x:v>15429</x:v>
      </x:c>
      <x:c r="G20" s="34" t="str">
        <x:v>GPT-5.6 Sol</x:v>
      </x:c>
      <x:c r="H20" s="35" t="str">
        <x:v>1 cluster per 2 month, 4 per cluster</x:v>
      </x:c>
      <x:c r="I20" s="35" t="str">
        <x:v>no seizure frequency reference</x:v>
      </x:c>
      <x:c r="J20" s="35" t="str"/>
      <x:c r="K20" s="35" t="str"/>
      <x:c r="L20" s="35" t="str">
        <x:v>She may remain seizure-free for up to two month, but then will experience clusters of four seizures in a single day.</x:v>
      </x:c>
      <x:c r="M20" s="35" t="str">
        <x:v>all six</x:v>
      </x:c>
      <x:c r="N20" s="35" t="str">
        <x:v>no</x:v>
      </x:c>
      <x:c r="O20" s="35" t="str">
        <x:v>docs/research/six_model_hard_slice_error_mode_examples_2026-08-06.md</x:v>
      </x:c>
      <x:c r="P20" s="35" t="str">
        <x:v>experiments/six_model_hard_slice_error_mode_examples_20260806.json</x:v>
      </x:c>
    </x:row>
    <x:row r="21" ht="66" customHeight="1">
      <x:c r="A21" s="34" t="str">
        <x:v>Gan 2026</x:v>
      </x:c>
      <x:c r="B21" s="34" t="str">
        <x:v>cluster_burden_llm_with_rules</x:v>
      </x:c>
      <x:c r="C21" s="34" t="str">
        <x:v>llm_with_rules</x:v>
      </x:c>
      <x:c r="D21" s="34" t="str">
        <x:v>scored label</x:v>
      </x:c>
      <x:c r="E21" s="34" t="str">
        <x:v>collapse_to_no_reference</x:v>
      </x:c>
      <x:c r="F21" s="34" t="str">
        <x:v>11109</x:v>
      </x:c>
      <x:c r="G21" s="34" t="str">
        <x:v>GPT-5.6 Luna</x:v>
      </x:c>
      <x:c r="H21" s="35" t="str">
        <x:v>2 cluster per month, 5 per cluster</x:v>
      </x:c>
      <x:c r="I21" s="35" t="str">
        <x:v>no seizure frequency reference</x:v>
      </x:c>
      <x:c r="J21" s="35" t="str"/>
      <x:c r="K21" s="35" t="str"/>
      <x:c r="L21" s="35" t="str">
        <x:v>typically 5 or more seizures in 24 h</x:v>
      </x:c>
      <x:c r="M21" s="35" t="str">
        <x:v>not all six</x:v>
      </x:c>
      <x:c r="N21" s="35" t="str">
        <x:v>no</x:v>
      </x:c>
      <x:c r="O21" s="35" t="str">
        <x:v>docs/research/six_model_hard_slice_error_mode_examples_2026-08-06.md</x:v>
      </x:c>
      <x:c r="P21" s="35" t="str">
        <x:v>experiments/six_model_hard_slice_error_mode_examples_20260806.json</x:v>
      </x:c>
    </x:row>
    <x:row r="22" ht="66" customHeight="1">
      <x:c r="A22" s="34" t="str">
        <x:v>Gan 2026</x:v>
      </x:c>
      <x:c r="B22" s="34" t="str">
        <x:v>cluster_burden_llm_with_rules</x:v>
      </x:c>
      <x:c r="C22" s="34" t="str">
        <x:v>llm_with_rules</x:v>
      </x:c>
      <x:c r="D22" s="34" t="str">
        <x:v>scored label</x:v>
      </x:c>
      <x:c r="E22" s="34" t="str">
        <x:v>collapse_to_no_reference</x:v>
      </x:c>
      <x:c r="F22" s="34" t="str">
        <x:v>15497</x:v>
      </x:c>
      <x:c r="G22" s="34" t="str">
        <x:v>GPT-5.6 Luna</x:v>
      </x:c>
      <x:c r="H22" s="35" t="str">
        <x:v>1 cluster per 4 to 5 day, 5 per cluster</x:v>
      </x:c>
      <x:c r="I22" s="35" t="str">
        <x:v>no seizure frequency reference</x:v>
      </x:c>
      <x:c r="J22" s="35" t="str"/>
      <x:c r="K22" s="35" t="str"/>
      <x:c r="L22" s="35" t="str">
        <x:v>when they happen he often has them in batches, with 5 occurring within 24 hours</x:v>
      </x:c>
      <x:c r="M22" s="35" t="str">
        <x:v>not all six</x:v>
      </x:c>
      <x:c r="N22" s="35" t="str">
        <x:v>no</x:v>
      </x:c>
      <x:c r="O22" s="35" t="str">
        <x:v>docs/research/six_model_hard_slice_error_mode_examples_2026-08-06.md</x:v>
      </x:c>
      <x:c r="P22" s="35" t="str">
        <x:v>experiments/six_model_hard_slice_error_mode_examples_20260806.json</x:v>
      </x:c>
    </x:row>
    <x:row r="23" ht="66" customHeight="1">
      <x:c r="A23" s="34" t="str">
        <x:v>Gan 2026</x:v>
      </x:c>
      <x:c r="B23" s="34" t="str">
        <x:v>cluster_burden_llm_with_rules</x:v>
      </x:c>
      <x:c r="C23" s="34" t="str">
        <x:v>llm_with_rules</x:v>
      </x:c>
      <x:c r="D23" s="34" t="str">
        <x:v>scored label</x:v>
      </x:c>
      <x:c r="E23" s="34" t="str">
        <x:v>collapse_to_unknown</x:v>
      </x:c>
      <x:c r="F23" s="34" t="str">
        <x:v>10673</x:v>
      </x:c>
      <x:c r="G23" s="34" t="str">
        <x:v>GPT-5.6 Sol</x:v>
      </x:c>
      <x:c r="H23" s="35" t="str">
        <x:v>1 cluster per month, multiple per cluster</x:v>
      </x:c>
      <x:c r="I23" s="35" t="str">
        <x:v>unknown</x:v>
      </x:c>
      <x:c r="J23" s="35" t="str"/>
      <x:c r="K23" s="35" t="str"/>
      <x:c r="L23" s="35" t="str">
        <x:v>The calendar indicates a pattern of seizures recurring in short bursts around the beginning of most months shortly after waking, with quieter intervals between these bursts.</x:v>
      </x:c>
      <x:c r="M23" s="35" t="str">
        <x:v>all six</x:v>
      </x:c>
      <x:c r="N23" s="35" t="str">
        <x:v>no</x:v>
      </x:c>
      <x:c r="O23" s="35" t="str">
        <x:v>docs/research/six_model_hard_slice_error_mode_examples_2026-08-06.md</x:v>
      </x:c>
      <x:c r="P23" s="35" t="str">
        <x:v>experiments/six_model_hard_slice_error_mode_examples_20260806.json</x:v>
      </x:c>
    </x:row>
    <x:row r="24" ht="66" customHeight="1">
      <x:c r="A24" s="34" t="str">
        <x:v>Gan 2026</x:v>
      </x:c>
      <x:c r="B24" s="34" t="str">
        <x:v>cluster_burden_llm_with_rules</x:v>
      </x:c>
      <x:c r="C24" s="34" t="str">
        <x:v>llm_with_rules</x:v>
      </x:c>
      <x:c r="D24" s="34" t="str">
        <x:v>scored label</x:v>
      </x:c>
      <x:c r="E24" s="34" t="str">
        <x:v>collapse_to_unknown</x:v>
      </x:c>
      <x:c r="F24" s="34" t="str">
        <x:v>17110</x:v>
      </x:c>
      <x:c r="G24" s="34" t="str">
        <x:v>GPT-5.6 Sol</x:v>
      </x:c>
      <x:c r="H24" s="35" t="str">
        <x:v>4 to 5 cluster per week, multiple per cluster</x:v>
      </x:c>
      <x:c r="I24" s="35" t="str">
        <x:v>unknown</x:v>
      </x:c>
      <x:c r="J24" s="35" t="str"/>
      <x:c r="K24" s="35" t="str"/>
      <x:c r="L24" s="35" t="str">
        <x:v>He suffers clusters of absence seizures on four to five days each week.</x:v>
      </x:c>
      <x:c r="M24" s="35" t="str">
        <x:v>all six</x:v>
      </x:c>
      <x:c r="N24" s="35" t="str">
        <x:v>no</x:v>
      </x:c>
      <x:c r="O24" s="35" t="str">
        <x:v>docs/research/six_model_hard_slice_error_mode_examples_2026-08-06.md</x:v>
      </x:c>
      <x:c r="P24" s="35" t="str">
        <x:v>experiments/six_model_hard_slice_error_mode_examples_20260806.json</x:v>
      </x:c>
    </x:row>
    <x:row r="25" ht="66" customHeight="1">
      <x:c r="A25" s="34" t="str">
        <x:v>Gan 2026</x:v>
      </x:c>
      <x:c r="B25" s="34" t="str">
        <x:v>cluster_burden_llm_with_rules</x:v>
      </x:c>
      <x:c r="C25" s="34" t="str">
        <x:v>llm_with_rules</x:v>
      </x:c>
      <x:c r="D25" s="34" t="str">
        <x:v>scored label</x:v>
      </x:c>
      <x:c r="E25" s="34" t="str">
        <x:v>dropped_to_smooth_rate</x:v>
      </x:c>
      <x:c r="F25" s="34" t="str">
        <x:v>10434</x:v>
      </x:c>
      <x:c r="G25" s="34" t="str">
        <x:v>GPT-5.6 Sol</x:v>
      </x:c>
      <x:c r="H25" s="35" t="str">
        <x:v>multiple cluster per week, 2 to 3 per cluster</x:v>
      </x:c>
      <x:c r="I25" s="35" t="str">
        <x:v>multiple per week</x:v>
      </x:c>
      <x:c r="J25" s="35" t="str"/>
      <x:c r="K25" s="35" t="str"/>
      <x:c r="L25" s="35" t="str">
        <x:v>Over the past six weeks he has noticed that brief episodes are tending to bunch together after he wakes, occurring on several mornings each week despite taking his tablets as prescribed.</x:v>
      </x:c>
      <x:c r="M25" s="35" t="str">
        <x:v>all six</x:v>
      </x:c>
      <x:c r="N25" s="35" t="str">
        <x:v>no</x:v>
      </x:c>
      <x:c r="O25" s="35" t="str">
        <x:v>docs/research/six_model_hard_slice_error_mode_examples_2026-08-06.md</x:v>
      </x:c>
      <x:c r="P25" s="35" t="str">
        <x:v>experiments/six_model_hard_slice_error_mode_examples_20260806.json</x:v>
      </x:c>
    </x:row>
    <x:row r="26" ht="66" customHeight="1">
      <x:c r="A26" s="34" t="str">
        <x:v>Gan 2026</x:v>
      </x:c>
      <x:c r="B26" s="34" t="str">
        <x:v>cluster_burden_llm_with_rules</x:v>
      </x:c>
      <x:c r="C26" s="34" t="str">
        <x:v>llm_with_rules</x:v>
      </x:c>
      <x:c r="D26" s="34" t="str">
        <x:v>scored label</x:v>
      </x:c>
      <x:c r="E26" s="34" t="str">
        <x:v>dropped_to_smooth_rate</x:v>
      </x:c>
      <x:c r="F26" s="34" t="str">
        <x:v>9943</x:v>
      </x:c>
      <x:c r="G26" s="34" t="str">
        <x:v>GPT-5.6 Sol</x:v>
      </x:c>
      <x:c r="H26" s="35" t="str">
        <x:v>1 cluster per 4 to 5 week, multiple per cluster</x:v>
      </x:c>
      <x:c r="I26" s="35" t="str">
        <x:v>1 per 4 to 5 week</x:v>
      </x:c>
      <x:c r="J26" s="35" t="str"/>
      <x:c r="K26" s="35" t="str"/>
      <x:c r="L26" s="35" t="str">
        <x:v>the events tend to group together over several days in a repeating pattern roughly every four to five weeks</x:v>
      </x:c>
      <x:c r="M26" s="35" t="str">
        <x:v>all six</x:v>
      </x:c>
      <x:c r="N26" s="35" t="str">
        <x:v>no</x:v>
      </x:c>
      <x:c r="O26" s="35" t="str">
        <x:v>docs/research/six_model_hard_slice_error_mode_examples_2026-08-06.md</x:v>
      </x:c>
      <x:c r="P26" s="35" t="str">
        <x:v>experiments/six_model_hard_slice_error_mode_examples_20260806.json</x:v>
      </x:c>
    </x:row>
    <x:row r="27" ht="66" customHeight="1">
      <x:c r="A27" s="34" t="str">
        <x:v>Gan 2026</x:v>
      </x:c>
      <x:c r="B27" s="34" t="str">
        <x:v>cluster_burden_llm_with_rules</x:v>
      </x:c>
      <x:c r="C27" s="34" t="str">
        <x:v>llm_with_rules</x:v>
      </x:c>
      <x:c r="D27" s="34" t="str">
        <x:v>scored label</x:v>
      </x:c>
      <x:c r="E27" s="34" t="str">
        <x:v>false_seizure_free</x:v>
      </x:c>
      <x:c r="F27" s="34" t="str">
        <x:v>15593</x:v>
      </x:c>
      <x:c r="G27" s="34" t="str">
        <x:v>GPT-5.6 Sol</x:v>
      </x:c>
      <x:c r="H27" s="35" t="str">
        <x:v>1 cluster per 5 day, 2 to 4 per cluster</x:v>
      </x:c>
      <x:c r="I27" s="35" t="str">
        <x:v>seizure free for multiple year</x:v>
      </x:c>
      <x:c r="J27" s="35" t="str"/>
      <x:c r="K27" s="35" t="str"/>
      <x:c r="L27" s="35" t="str">
        <x:v>She can occasionally manage five days without seizures, though this is usually followed by a day of clustering, with two to four events.</x:v>
      </x:c>
      <x:c r="M27" s="35" t="str">
        <x:v>not all six</x:v>
      </x:c>
      <x:c r="N27" s="35" t="str">
        <x:v>no</x:v>
      </x:c>
      <x:c r="O27" s="35" t="str">
        <x:v>docs/research/six_model_hard_slice_error_mode_examples_2026-08-06.md</x:v>
      </x:c>
      <x:c r="P27" s="35" t="str">
        <x:v>experiments/six_model_hard_slice_error_mode_examples_20260806.json</x:v>
      </x:c>
    </x:row>
    <x:row r="28" ht="66" customHeight="1">
      <x:c r="A28" s="34" t="str">
        <x:v>Gan 2026</x:v>
      </x:c>
      <x:c r="B28" s="34" t="str">
        <x:v>cluster_burden_llm_with_rules</x:v>
      </x:c>
      <x:c r="C28" s="34" t="str">
        <x:v>llm_with_rules</x:v>
      </x:c>
      <x:c r="D28" s="34" t="str">
        <x:v>scored label</x:v>
      </x:c>
      <x:c r="E28" s="34" t="str">
        <x:v>false_seizure_free</x:v>
      </x:c>
      <x:c r="F28" s="34" t="str">
        <x:v>15513</x:v>
      </x:c>
      <x:c r="G28" s="34" t="str">
        <x:v>GPT-4.1-mini</x:v>
      </x:c>
      <x:c r="H28" s="35" t="str">
        <x:v>1 cluster per 4 to 5 day, 2 to 3 per cluster</x:v>
      </x:c>
      <x:c r="I28" s="35" t="str">
        <x:v>seizure free for multiple year</x:v>
      </x:c>
      <x:c r="J28" s="35" t="str"/>
      <x:c r="K28" s="35" t="str"/>
      <x:c r="L28" s="35" t="str">
        <x:v>He may go four to five days without seizures, but when they happen he often has them in batches, with two - three occurring within 24 hours.</x:v>
      </x:c>
      <x:c r="M28" s="35" t="str">
        <x:v>not all six</x:v>
      </x:c>
      <x:c r="N28" s="35" t="str">
        <x:v>no</x:v>
      </x:c>
      <x:c r="O28" s="35" t="str">
        <x:v>docs/research/six_model_hard_slice_error_mode_examples_2026-08-06.md</x:v>
      </x:c>
      <x:c r="P28" s="35" t="str">
        <x:v>experiments/six_model_hard_slice_error_mode_examples_20260806.json</x:v>
      </x:c>
    </x:row>
    <x:row r="29" ht="66" customHeight="1">
      <x:c r="A29" s="34" t="str">
        <x:v>Gan 2026</x:v>
      </x:c>
      <x:c r="B29" s="34" t="str">
        <x:v>cluster_burden_llm_with_rules</x:v>
      </x:c>
      <x:c r="C29" s="34" t="str">
        <x:v>llm_with_rules</x:v>
      </x:c>
      <x:c r="D29" s="34" t="str">
        <x:v>scored label</x:v>
      </x:c>
      <x:c r="E29" s="34" t="str">
        <x:v>wrong_cluster_parameters</x:v>
      </x:c>
      <x:c r="F29" s="34" t="str">
        <x:v>17135</x:v>
      </x:c>
      <x:c r="G29" s="34" t="str">
        <x:v>GPT-5.6 Sol</x:v>
      </x:c>
      <x:c r="H29" s="35" t="str">
        <x:v>5 cluster per month, multiple per cluster</x:v>
      </x:c>
      <x:c r="I29" s="35" t="str">
        <x:v>1 cluster per month, multiple per cluster</x:v>
      </x:c>
      <x:c r="J29" s="35" t="str"/>
      <x:c r="K29" s="35" t="str"/>
      <x:c r="L29" s="35" t="str">
        <x:v>He suffers clusters of absence seizures on five days each month.</x:v>
      </x:c>
      <x:c r="M29" s="35" t="str">
        <x:v>all six</x:v>
      </x:c>
      <x:c r="N29" s="35" t="str">
        <x:v>no</x:v>
      </x:c>
      <x:c r="O29" s="35" t="str">
        <x:v>docs/research/six_model_hard_slice_error_mode_examples_2026-08-06.md</x:v>
      </x:c>
      <x:c r="P29" s="35" t="str">
        <x:v>experiments/six_model_hard_slice_error_mode_examples_20260806.json</x:v>
      </x:c>
    </x:row>
    <x:row r="30" ht="66" customHeight="1">
      <x:c r="A30" s="34" t="str">
        <x:v>Gan 2026</x:v>
      </x:c>
      <x:c r="B30" s="34" t="str">
        <x:v>cluster_burden_llm_with_rules</x:v>
      </x:c>
      <x:c r="C30" s="34" t="str">
        <x:v>llm_with_rules</x:v>
      </x:c>
      <x:c r="D30" s="34" t="str">
        <x:v>scored label</x:v>
      </x:c>
      <x:c r="E30" s="34" t="str">
        <x:v>wrong_cluster_parameters</x:v>
      </x:c>
      <x:c r="F30" s="34" t="str">
        <x:v>10965</x:v>
      </x:c>
      <x:c r="G30" s="34" t="str">
        <x:v>GPT-5.6 Sol</x:v>
      </x:c>
      <x:c r="H30" s="35" t="str">
        <x:v>2 cluster per month, 4 to 5 per cluster</x:v>
      </x:c>
      <x:c r="I30" s="35" t="str">
        <x:v>2 cluster per month, multiple per cluster</x:v>
      </x:c>
      <x:c r="J30" s="35" t="str"/>
      <x:c r="K30" s="35" t="str"/>
      <x:c r="L30" s="35" t="str">
        <x:v>Alex described two nocturnal clusters this month; each ~four - five events, occurring during sleep on separate weeks.</x:v>
      </x:c>
      <x:c r="M30" s="35" t="str">
        <x:v>not all six</x:v>
      </x:c>
      <x:c r="N30" s="35" t="str">
        <x:v>no</x:v>
      </x:c>
      <x:c r="O30" s="35" t="str">
        <x:v>docs/research/six_model_hard_slice_error_mode_examples_2026-08-06.md</x:v>
      </x:c>
      <x:c r="P30" s="35" t="str">
        <x:v>experiments/six_model_hard_slice_error_mode_examples_20260806.json</x:v>
      </x:c>
    </x:row>
    <x:row r="31" ht="66" customHeight="1">
      <x:c r="A31" s="34" t="str">
        <x:v>Gan 2026</x:v>
      </x:c>
      <x:c r="B31" s="34" t="str">
        <x:v>ordinary_point_rate_llm</x:v>
      </x:c>
      <x:c r="C31" s="34" t="str">
        <x:v>llm</x:v>
      </x:c>
      <x:c r="D31" s="34" t="str">
        <x:v>scored label</x:v>
      </x:c>
      <x:c r="E31" s="34" t="str">
        <x:v>false_multiple_word</x:v>
      </x:c>
      <x:c r="F31" s="34" t="str">
        <x:v>13114</x:v>
      </x:c>
      <x:c r="G31" s="34" t="str">
        <x:v>GPT-5.6 Sol</x:v>
      </x:c>
      <x:c r="H31" s="35" t="str">
        <x:v>1 per year</x:v>
      </x:c>
      <x:c r="I31" s="35" t="str">
        <x:v>multiple per day</x:v>
      </x:c>
      <x:c r="J31" s="35" t="str">
        <x:v>1 per day</x:v>
      </x:c>
      <x:c r="K31" s="35" t="str">
        <x:v>not rescued</x:v>
      </x:c>
      <x:c r="L31" s="35" t="str">
        <x:v>she notes brief morning myoclonic jerks on the preceding two days</x:v>
      </x:c>
      <x:c r="M31" s="35" t="str">
        <x:v>all six</x:v>
      </x:c>
      <x:c r="N31" s="35" t="str">
        <x:v>no</x:v>
      </x:c>
      <x:c r="O31" s="35" t="str">
        <x:v>docs/research/six_model_hard_slice_error_mode_examples_2026-08-06.md</x:v>
      </x:c>
      <x:c r="P31" s="35" t="str">
        <x:v>experiments/six_model_hard_slice_error_mode_examples_20260806.json</x:v>
      </x:c>
    </x:row>
    <x:row r="32" ht="66" customHeight="1">
      <x:c r="A32" s="34" t="str">
        <x:v>Gan 2026</x:v>
      </x:c>
      <x:c r="B32" s="34" t="str">
        <x:v>ordinary_point_rate_llm</x:v>
      </x:c>
      <x:c r="C32" s="34" t="str">
        <x:v>llm</x:v>
      </x:c>
      <x:c r="D32" s="34" t="str">
        <x:v>scored label</x:v>
      </x:c>
      <x:c r="E32" s="34" t="str">
        <x:v>false_multiple_word</x:v>
      </x:c>
      <x:c r="F32" s="34" t="str">
        <x:v>1880</x:v>
      </x:c>
      <x:c r="G32" s="34" t="str">
        <x:v>GPT-5.6 Sol</x:v>
      </x:c>
      <x:c r="H32" s="35" t="str">
        <x:v>8 per 2 month</x:v>
      </x:c>
      <x:c r="I32" s="35" t="str">
        <x:v>multiple per week</x:v>
      </x:c>
      <x:c r="J32" s="35" t="str">
        <x:v>multiple per week</x:v>
      </x:c>
      <x:c r="K32" s="35" t="str">
        <x:v>not rescued</x:v>
      </x:c>
      <x:c r="L32" s="35" t="str">
        <x:v>focal onset events with a rising epigastric sensation, brief speech arrest and right-hand automatisms, occurring several times per week</x:v>
      </x:c>
      <x:c r="M32" s="35" t="str">
        <x:v>all six</x:v>
      </x:c>
      <x:c r="N32" s="35" t="str">
        <x:v>no</x:v>
      </x:c>
      <x:c r="O32" s="35" t="str">
        <x:v>docs/research/six_model_hard_slice_error_mode_examples_2026-08-06.md</x:v>
      </x:c>
      <x:c r="P32" s="35" t="str">
        <x:v>experiments/six_model_hard_slice_error_mode_examples_20260806.json</x:v>
      </x:c>
    </x:row>
    <x:row r="33" ht="66" customHeight="1">
      <x:c r="A33" s="34" t="str">
        <x:v>Gan 2026</x:v>
      </x:c>
      <x:c r="B33" s="34" t="str">
        <x:v>ordinary_point_rate_llm</x:v>
      </x:c>
      <x:c r="C33" s="34" t="str">
        <x:v>llm</x:v>
      </x:c>
      <x:c r="D33" s="34" t="str">
        <x:v>scored label</x:v>
      </x:c>
      <x:c r="E33" s="34" t="str">
        <x:v>false_range</x:v>
      </x:c>
      <x:c r="F33" s="34" t="str">
        <x:v>12823</x:v>
      </x:c>
      <x:c r="G33" s="34" t="str">
        <x:v>GPT-5.6 Sol</x:v>
      </x:c>
      <x:c r="H33" s="35" t="str">
        <x:v>9 per month</x:v>
      </x:c>
      <x:c r="I33" s="35" t="str">
        <x:v>1 per 3 to 4 week</x:v>
      </x:c>
      <x:c r="J33" s="35" t="str">
        <x:v>9 per month</x:v>
      </x:c>
      <x:c r="K33" s="35" t="str">
        <x:v>rescue</x:v>
      </x:c>
      <x:c r="L33" s="35" t="str">
        <x:v>focal impaired-awareness episodes, now occurring roughly once every three to four weeks</x:v>
      </x:c>
      <x:c r="M33" s="35" t="str">
        <x:v>all six</x:v>
      </x:c>
      <x:c r="N33" s="35" t="str">
        <x:v>yes</x:v>
      </x:c>
      <x:c r="O33" s="35" t="str">
        <x:v>docs/research/six_model_hard_slice_error_mode_examples_2026-08-06.md</x:v>
      </x:c>
      <x:c r="P33" s="35" t="str">
        <x:v>experiments/six_model_hard_slice_error_mode_examples_20260806.json</x:v>
      </x:c>
    </x:row>
    <x:row r="34" ht="66" customHeight="1">
      <x:c r="A34" s="34" t="str">
        <x:v>Gan 2026</x:v>
      </x:c>
      <x:c r="B34" s="34" t="str">
        <x:v>ordinary_point_rate_llm</x:v>
      </x:c>
      <x:c r="C34" s="34" t="str">
        <x:v>llm</x:v>
      </x:c>
      <x:c r="D34" s="34" t="str">
        <x:v>scored label</x:v>
      </x:c>
      <x:c r="E34" s="34" t="str">
        <x:v>false_range</x:v>
      </x:c>
      <x:c r="F34" s="34" t="str">
        <x:v>13209</x:v>
      </x:c>
      <x:c r="G34" s="34" t="str">
        <x:v>GPT-5.6 Sol</x:v>
      </x:c>
      <x:c r="H34" s="35" t="str">
        <x:v>1 per 8 month</x:v>
      </x:c>
      <x:c r="I34" s="35" t="str">
        <x:v>1 per 4 to 5 week</x:v>
      </x:c>
      <x:c r="J34" s="35" t="str">
        <x:v>1 per 4 to 5 week</x:v>
      </x:c>
      <x:c r="K34" s="35" t="str">
        <x:v>not rescued</x:v>
      </x:c>
      <x:c r="L34" s="35" t="str">
        <x:v>his diary shows clusters of auras and brief blanks roughly every 4–5 weeks</x:v>
      </x:c>
      <x:c r="M34" s="35" t="str">
        <x:v>all six</x:v>
      </x:c>
      <x:c r="N34" s="35" t="str">
        <x:v>yes</x:v>
      </x:c>
      <x:c r="O34" s="35" t="str">
        <x:v>docs/research/six_model_hard_slice_error_mode_examples_2026-08-06.md</x:v>
      </x:c>
      <x:c r="P34" s="35" t="str">
        <x:v>experiments/six_model_hard_slice_error_mode_examples_20260806.json</x:v>
      </x:c>
    </x:row>
    <x:row r="35" ht="66" customHeight="1">
      <x:c r="A35" s="34" t="str">
        <x:v>Gan 2026</x:v>
      </x:c>
      <x:c r="B35" s="34" t="str">
        <x:v>ordinary_point_rate_llm</x:v>
      </x:c>
      <x:c r="C35" s="34" t="str">
        <x:v>llm</x:v>
      </x:c>
      <x:c r="D35" s="34" t="str">
        <x:v>scored label</x:v>
      </x:c>
      <x:c r="E35" s="34" t="str">
        <x:v>false_seizure_free</x:v>
      </x:c>
      <x:c r="F35" s="34" t="str">
        <x:v>14540</x:v>
      </x:c>
      <x:c r="G35" s="34" t="str">
        <x:v>GPT-5.6 Sol</x:v>
      </x:c>
      <x:c r="H35" s="35" t="str">
        <x:v>2 per 8 month</x:v>
      </x:c>
      <x:c r="I35" s="35" t="str">
        <x:v>seizure free for multiple year</x:v>
      </x:c>
      <x:c r="J35" s="35" t="str">
        <x:v>seizure free for multiple year</x:v>
      </x:c>
      <x:c r="K35" s="35" t="str">
        <x:v>not rescued</x:v>
      </x:c>
      <x:c r="L35" s="35" t="str">
        <x:v>Since commencing Levetiracetam he has not had further events.</x:v>
      </x:c>
      <x:c r="M35" s="35" t="str">
        <x:v>all six</x:v>
      </x:c>
      <x:c r="N35" s="35" t="str">
        <x:v>no</x:v>
      </x:c>
      <x:c r="O35" s="35" t="str">
        <x:v>docs/research/six_model_hard_slice_error_mode_examples_2026-08-06.md</x:v>
      </x:c>
      <x:c r="P35" s="35" t="str">
        <x:v>experiments/six_model_hard_slice_error_mode_examples_20260806.json</x:v>
      </x:c>
    </x:row>
    <x:row r="36" ht="66" customHeight="1">
      <x:c r="A36" s="34" t="str">
        <x:v>Gan 2026</x:v>
      </x:c>
      <x:c r="B36" s="34" t="str">
        <x:v>ordinary_point_rate_llm</x:v>
      </x:c>
      <x:c r="C36" s="34" t="str">
        <x:v>llm</x:v>
      </x:c>
      <x:c r="D36" s="34" t="str">
        <x:v>scored label</x:v>
      </x:c>
      <x:c r="E36" s="34" t="str">
        <x:v>false_seizure_free</x:v>
      </x:c>
      <x:c r="F36" s="34" t="str">
        <x:v>14581</x:v>
      </x:c>
      <x:c r="G36" s="34" t="str">
        <x:v>GPT-5.6 Sol</x:v>
      </x:c>
      <x:c r="H36" s="35" t="str">
        <x:v>2 per 3 month</x:v>
      </x:c>
      <x:c r="I36" s="35" t="str">
        <x:v>seizure free for multiple year</x:v>
      </x:c>
      <x:c r="J36" s="35" t="str">
        <x:v>1 per 1 month</x:v>
      </x:c>
      <x:c r="K36" s="35" t="str">
        <x:v>not rescued</x:v>
      </x:c>
      <x:c r="L36" s="35" t="str">
        <x:v>He has had no further events since surgical intervention and initiation of Levetiracetam.</x:v>
      </x:c>
      <x:c r="M36" s="35" t="str">
        <x:v>all six</x:v>
      </x:c>
      <x:c r="N36" s="35" t="str">
        <x:v>no</x:v>
      </x:c>
      <x:c r="O36" s="35" t="str">
        <x:v>docs/research/six_model_hard_slice_error_mode_examples_2026-08-06.md</x:v>
      </x:c>
      <x:c r="P36" s="35" t="str">
        <x:v>experiments/six_model_hard_slice_error_mode_examples_20260806.json</x:v>
      </x:c>
    </x:row>
    <x:row r="37" ht="66" customHeight="1">
      <x:c r="A37" s="34" t="str">
        <x:v>Gan 2026</x:v>
      </x:c>
      <x:c r="B37" s="34" t="str">
        <x:v>ordinary_point_rate_llm</x:v>
      </x:c>
      <x:c r="C37" s="34" t="str">
        <x:v>llm</x:v>
      </x:c>
      <x:c r="D37" s="34" t="str">
        <x:v>scored label</x:v>
      </x:c>
      <x:c r="E37" s="34" t="str">
        <x:v>over_abstain_no_reference</x:v>
      </x:c>
      <x:c r="F37" s="34" t="str">
        <x:v>13122</x:v>
      </x:c>
      <x:c r="G37" s="34" t="str">
        <x:v>GPT-5.6 Sol</x:v>
      </x:c>
      <x:c r="H37" s="35" t="str">
        <x:v>3 per year</x:v>
      </x:c>
      <x:c r="I37" s="35" t="str">
        <x:v>no seizure frequency reference</x:v>
      </x:c>
      <x:c r="J37" s="35" t="str">
        <x:v>3 per 1 year</x:v>
      </x:c>
      <x:c r="K37" s="35" t="str">
        <x:v>rescue</x:v>
      </x:c>
      <x:c r="L37" s="35" t="str">
        <x:v>She had no seizures for nearly a year following initiation of Valproate, then developed myoclonic jerks leading to three tonic seizure two Saturdays ago.</x:v>
      </x:c>
      <x:c r="M37" s="35" t="str">
        <x:v>all six</x:v>
      </x:c>
      <x:c r="N37" s="35" t="str">
        <x:v>no</x:v>
      </x:c>
      <x:c r="O37" s="35" t="str">
        <x:v>docs/research/six_model_hard_slice_error_mode_examples_2026-08-06.md</x:v>
      </x:c>
      <x:c r="P37" s="35" t="str">
        <x:v>experiments/six_model_hard_slice_error_mode_examples_20260806.json</x:v>
      </x:c>
    </x:row>
    <x:row r="38" ht="66" customHeight="1">
      <x:c r="A38" s="34" t="str">
        <x:v>Gan 2026</x:v>
      </x:c>
      <x:c r="B38" s="34" t="str">
        <x:v>ordinary_point_rate_llm</x:v>
      </x:c>
      <x:c r="C38" s="34" t="str">
        <x:v>llm</x:v>
      </x:c>
      <x:c r="D38" s="34" t="str">
        <x:v>scored label</x:v>
      </x:c>
      <x:c r="E38" s="34" t="str">
        <x:v>over_abstain_no_reference</x:v>
      </x:c>
      <x:c r="F38" s="34" t="str">
        <x:v>14332</x:v>
      </x:c>
      <x:c r="G38" s="34" t="str">
        <x:v>GPT-5.6 Sol</x:v>
      </x:c>
      <x:c r="H38" s="35" t="str">
        <x:v>5 per 2 month</x:v>
      </x:c>
      <x:c r="I38" s="35" t="str">
        <x:v>no seizure frequency reference</x:v>
      </x:c>
      <x:c r="J38" s="35" t="str">
        <x:v>5 per 2 month</x:v>
      </x:c>
      <x:c r="K38" s="35" t="str">
        <x:v>rescue</x:v>
      </x:c>
      <x:c r="L38" s="35" t="str">
        <x:v>Around that period, she had five seizures, one following alcohol intake. She has not had any further events since.</x:v>
      </x:c>
      <x:c r="M38" s="35" t="str">
        <x:v>all six</x:v>
      </x:c>
      <x:c r="N38" s="35" t="str">
        <x:v>no</x:v>
      </x:c>
      <x:c r="O38" s="35" t="str">
        <x:v>docs/research/six_model_hard_slice_error_mode_examples_2026-08-06.md</x:v>
      </x:c>
      <x:c r="P38" s="35" t="str">
        <x:v>experiments/six_model_hard_slice_error_mode_examples_20260806.json</x:v>
      </x:c>
    </x:row>
    <x:row r="39" ht="66" customHeight="1">
      <x:c r="A39" s="34" t="str">
        <x:v>Gan 2026</x:v>
      </x:c>
      <x:c r="B39" s="34" t="str">
        <x:v>ordinary_point_rate_llm</x:v>
      </x:c>
      <x:c r="C39" s="34" t="str">
        <x:v>llm</x:v>
      </x:c>
      <x:c r="D39" s="34" t="str">
        <x:v>scored label</x:v>
      </x:c>
      <x:c r="E39" s="34" t="str">
        <x:v>over_abstain_unknown</x:v>
      </x:c>
      <x:c r="F39" s="34" t="str">
        <x:v>13051</x:v>
      </x:c>
      <x:c r="G39" s="34" t="str">
        <x:v>GPT-5.6 Sol</x:v>
      </x:c>
      <x:c r="H39" s="35" t="str">
        <x:v>2 per 8 month</x:v>
      </x:c>
      <x:c r="I39" s="35" t="str">
        <x:v>unknown</x:v>
      </x:c>
      <x:c r="J39" s="35" t="str">
        <x:v>seizure free for multiple year</x:v>
      </x:c>
      <x:c r="K39" s="35" t="str">
        <x:v>not rescued</x:v>
      </x:c>
      <x:c r="L39" s="35" t="str">
        <x:v>a generalised tonic-clonic seizure 3 Tuesdays ago, preceded by a cluster of absences</x:v>
      </x:c>
      <x:c r="M39" s="35" t="str">
        <x:v>all six</x:v>
      </x:c>
      <x:c r="N39" s="35" t="str">
        <x:v>no</x:v>
      </x:c>
      <x:c r="O39" s="35" t="str">
        <x:v>docs/research/six_model_hard_slice_error_mode_examples_2026-08-06.md</x:v>
      </x:c>
      <x:c r="P39" s="35" t="str">
        <x:v>experiments/six_model_hard_slice_error_mode_examples_20260806.json</x:v>
      </x:c>
    </x:row>
    <x:row r="40" ht="66" customHeight="1">
      <x:c r="A40" s="34" t="str">
        <x:v>Gan 2026</x:v>
      </x:c>
      <x:c r="B40" s="34" t="str">
        <x:v>ordinary_point_rate_llm</x:v>
      </x:c>
      <x:c r="C40" s="34" t="str">
        <x:v>llm</x:v>
      </x:c>
      <x:c r="D40" s="34" t="str">
        <x:v>scored label</x:v>
      </x:c>
      <x:c r="E40" s="34" t="str">
        <x:v>over_abstain_unknown</x:v>
      </x:c>
      <x:c r="F40" s="34" t="str">
        <x:v>13178</x:v>
      </x:c>
      <x:c r="G40" s="34" t="str">
        <x:v>GPT-5.6 Sol</x:v>
      </x:c>
      <x:c r="H40" s="35" t="str">
        <x:v>1 per 6 month</x:v>
      </x:c>
      <x:c r="I40" s="35" t="str">
        <x:v>unknown</x:v>
      </x:c>
      <x:c r="J40" s="35" t="str">
        <x:v>6 per 6 month</x:v>
      </x:c>
      <x:c r="K40" s="35" t="str">
        <x:v>not rescued</x:v>
      </x:c>
      <x:c r="L40" s="35" t="str">
        <x:v>he was seizure-free for 6 months, until a focal impaired-awareness seizure occurred 2 Thursdays ago</x:v>
      </x:c>
      <x:c r="M40" s="35" t="str">
        <x:v>all six</x:v>
      </x:c>
      <x:c r="N40" s="35" t="str">
        <x:v>no</x:v>
      </x:c>
      <x:c r="O40" s="35" t="str">
        <x:v>docs/research/six_model_hard_slice_error_mode_examples_2026-08-06.md</x:v>
      </x:c>
      <x:c r="P40" s="35" t="str">
        <x:v>experiments/six_model_hard_slice_error_mode_examples_20260806.json</x:v>
      </x:c>
    </x:row>
    <x:row r="41" ht="66" customHeight="1">
      <x:c r="A41" s="34" t="str">
        <x:v>Gan 2026</x:v>
      </x:c>
      <x:c r="B41" s="34" t="str">
        <x:v>ordinary_point_rate_llm</x:v>
      </x:c>
      <x:c r="C41" s="34" t="str">
        <x:v>llm</x:v>
      </x:c>
      <x:c r="D41" s="34" t="str">
        <x:v>scored label</x:v>
      </x:c>
      <x:c r="E41" s="34" t="str">
        <x:v>parse_or_call_failure</x:v>
      </x:c>
      <x:c r="F41" s="34" t="str">
        <x:v>16719</x:v>
      </x:c>
      <x:c r="G41" s="34" t="str">
        <x:v>Qwen 3.6:35B</x:v>
      </x:c>
      <x:c r="H41" s="35" t="str">
        <x:v>7 per 6 month</x:v>
      </x:c>
      <x:c r="I41" s="35" t="str"/>
      <x:c r="J41" s="35" t="str">
        <x:v>1 per week</x:v>
      </x:c>
      <x:c r="K41" s="35" t="str">
        <x:v>not rescued</x:v>
      </x:c>
      <x:c r="L41" s="35" t="str"/>
      <x:c r="M41" s="35" t="str">
        <x:v>all six</x:v>
      </x:c>
      <x:c r="N41" s="35" t="str">
        <x:v>no</x:v>
      </x:c>
      <x:c r="O41" s="35" t="str">
        <x:v>docs/research/six_model_hard_slice_error_mode_examples_2026-08-06.md</x:v>
      </x:c>
      <x:c r="P41" s="35" t="str">
        <x:v>experiments/six_model_hard_slice_error_mode_examples_20260806.json</x:v>
      </x:c>
    </x:row>
    <x:row r="42" ht="66" customHeight="1">
      <x:c r="A42" s="34" t="str">
        <x:v>Gan 2026</x:v>
      </x:c>
      <x:c r="B42" s="34" t="str">
        <x:v>ordinary_point_rate_llm</x:v>
      </x:c>
      <x:c r="C42" s="34" t="str">
        <x:v>llm</x:v>
      </x:c>
      <x:c r="D42" s="34" t="str">
        <x:v>scored label</x:v>
      </x:c>
      <x:c r="E42" s="34" t="str">
        <x:v>parse_or_call_failure</x:v>
      </x:c>
      <x:c r="F42" s="34" t="str">
        <x:v>16839</x:v>
      </x:c>
      <x:c r="G42" s="34" t="str">
        <x:v>Qwen 3.6:35B</x:v>
      </x:c>
      <x:c r="H42" s="35" t="str">
        <x:v>9 per 4 month</x:v>
      </x:c>
      <x:c r="I42" s="35" t="str"/>
      <x:c r="J42" s="35" t="str">
        <x:v>multiple per week</x:v>
      </x:c>
      <x:c r="K42" s="35" t="str">
        <x:v>not rescued</x:v>
      </x:c>
      <x:c r="L42" s="35" t="str"/>
      <x:c r="M42" s="35" t="str">
        <x:v>all six</x:v>
      </x:c>
      <x:c r="N42" s="35" t="str">
        <x:v>no</x:v>
      </x:c>
      <x:c r="O42" s="35" t="str">
        <x:v>docs/research/six_model_hard_slice_error_mode_examples_2026-08-06.md</x:v>
      </x:c>
      <x:c r="P42" s="35" t="str">
        <x:v>experiments/six_model_hard_slice_error_mode_examples_20260806.json</x:v>
      </x:c>
    </x:row>
    <x:row r="43" ht="66" customHeight="1">
      <x:c r="A43" s="34" t="str">
        <x:v>Gan 2026</x:v>
      </x:c>
      <x:c r="B43" s="34" t="str">
        <x:v>ordinary_point_rate_llm</x:v>
      </x:c>
      <x:c r="C43" s="34" t="str">
        <x:v>llm</x:v>
      </x:c>
      <x:c r="D43" s="34" t="str">
        <x:v>scored label</x:v>
      </x:c>
      <x:c r="E43" s="34" t="str">
        <x:v>wrong_point_rate_selection</x:v>
      </x:c>
      <x:c r="F43" s="34" t="str">
        <x:v>12788</x:v>
      </x:c>
      <x:c r="G43" s="34" t="str">
        <x:v>GPT-5.6 Sol</x:v>
      </x:c>
      <x:c r="H43" s="35" t="str">
        <x:v>6 per 4 month</x:v>
      </x:c>
      <x:c r="I43" s="35" t="str">
        <x:v>6 per year</x:v>
      </x:c>
      <x:c r="J43" s="35" t="str">
        <x:v>6 per 4 month</x:v>
      </x:c>
      <x:c r="K43" s="35" t="str">
        <x:v>rescue</x:v>
      </x:c>
      <x:c r="L43" s="35" t="str">
        <x:v>with only six focal impaired-awareness seizures reported so far this year</x:v>
      </x:c>
      <x:c r="M43" s="35" t="str">
        <x:v>all six</x:v>
      </x:c>
      <x:c r="N43" s="35" t="str">
        <x:v>no</x:v>
      </x:c>
      <x:c r="O43" s="35" t="str">
        <x:v>docs/research/six_model_hard_slice_error_mode_examples_2026-08-06.md</x:v>
      </x:c>
      <x:c r="P43" s="35" t="str">
        <x:v>experiments/six_model_hard_slice_error_mode_examples_20260806.json</x:v>
      </x:c>
    </x:row>
    <x:row r="44" ht="66" customHeight="1">
      <x:c r="A44" s="34" t="str">
        <x:v>Gan 2026</x:v>
      </x:c>
      <x:c r="B44" s="34" t="str">
        <x:v>ordinary_point_rate_llm</x:v>
      </x:c>
      <x:c r="C44" s="34" t="str">
        <x:v>llm</x:v>
      </x:c>
      <x:c r="D44" s="34" t="str">
        <x:v>scored label</x:v>
      </x:c>
      <x:c r="E44" s="34" t="str">
        <x:v>wrong_point_rate_selection</x:v>
      </x:c>
      <x:c r="F44" s="34" t="str">
        <x:v>12810</x:v>
      </x:c>
      <x:c r="G44" s="34" t="str">
        <x:v>GPT-5.6 Sol</x:v>
      </x:c>
      <x:c r="H44" s="35" t="str">
        <x:v>5 per 2 month</x:v>
      </x:c>
      <x:c r="I44" s="35" t="str">
        <x:v>5 per year</x:v>
      </x:c>
      <x:c r="J44" s="35" t="str">
        <x:v>5 per 2 month</x:v>
      </x:c>
      <x:c r="K44" s="35" t="str">
        <x:v>rescue</x:v>
      </x:c>
      <x:c r="L44" s="35" t="str">
        <x:v>just five generalised tonic-clonic seizures documented this year to date</x:v>
      </x:c>
      <x:c r="M44" s="35" t="str">
        <x:v>all six</x:v>
      </x:c>
      <x:c r="N44" s="35" t="str">
        <x:v>no</x:v>
      </x:c>
      <x:c r="O44" s="35" t="str">
        <x:v>docs/research/six_model_hard_slice_error_mode_examples_2026-08-06.md</x:v>
      </x:c>
      <x:c r="P44" s="35" t="str">
        <x:v>experiments/six_model_hard_slice_error_mode_examples_20260806.json</x:v>
      </x:c>
    </x:row>
    <x:row r="45" ht="66" customHeight="1">
      <x:c r="A45" s="34" t="str">
        <x:v>Gan 2026</x:v>
      </x:c>
      <x:c r="B45" s="34" t="str">
        <x:v>ordinary_point_rate_llm</x:v>
      </x:c>
      <x:c r="C45" s="34" t="str">
        <x:v>llm</x:v>
      </x:c>
      <x:c r="D45" s="34" t="str">
        <x:v>model boundary</x:v>
      </x:c>
      <x:c r="E45" s="34" t="str">
        <x:v>false_cluster_structure</x:v>
      </x:c>
      <x:c r="F45" s="34" t="str">
        <x:v>13122</x:v>
      </x:c>
      <x:c r="G45" s="34" t="str">
        <x:v>GPT-5.6 Sol</x:v>
      </x:c>
      <x:c r="H45" s="35" t="str">
        <x:v>3 per year</x:v>
      </x:c>
      <x:c r="I45" s="35" t="str">
        <x:v>no seizure frequency reference</x:v>
      </x:c>
      <x:c r="J45" s="35" t="str">
        <x:v>3 per 1 year</x:v>
      </x:c>
      <x:c r="K45" s="35" t="str">
        <x:v>rescue</x:v>
      </x:c>
      <x:c r="L45" s="35" t="str">
        <x:v>She had no seizures for nearly a year following initiation of Valproate, then developed myoclonic jerks leading to three tonic seizure two Saturdays ago.</x:v>
      </x:c>
      <x:c r="M45" s="35" t="str">
        <x:v>all six</x:v>
      </x:c>
      <x:c r="N45" s="35" t="str">
        <x:v>no</x:v>
      </x:c>
      <x:c r="O45" s="35" t="str">
        <x:v>docs/research/six_model_hard_slice_error_mode_examples_2026-08-06.md</x:v>
      </x:c>
      <x:c r="P45" s="35" t="str">
        <x:v>experiments/six_model_hard_slice_error_mode_examples_20260806.json</x:v>
      </x:c>
    </x:row>
    <x:row r="46" ht="66" customHeight="1">
      <x:c r="A46" s="34" t="str">
        <x:v>Gan 2026</x:v>
      </x:c>
      <x:c r="B46" s="34" t="str">
        <x:v>ordinary_point_rate_llm</x:v>
      </x:c>
      <x:c r="C46" s="34" t="str">
        <x:v>llm</x:v>
      </x:c>
      <x:c r="D46" s="34" t="str">
        <x:v>model boundary</x:v>
      </x:c>
      <x:c r="E46" s="34" t="str">
        <x:v>false_cluster_structure</x:v>
      </x:c>
      <x:c r="F46" s="34" t="str">
        <x:v>13209</x:v>
      </x:c>
      <x:c r="G46" s="34" t="str">
        <x:v>GPT-5.6 Sol</x:v>
      </x:c>
      <x:c r="H46" s="35" t="str">
        <x:v>1 per 8 month</x:v>
      </x:c>
      <x:c r="I46" s="35" t="str">
        <x:v>1 per 4 to 5 week</x:v>
      </x:c>
      <x:c r="J46" s="35" t="str">
        <x:v>1 per 4 to 5 week</x:v>
      </x:c>
      <x:c r="K46" s="35" t="str">
        <x:v>not rescued</x:v>
      </x:c>
      <x:c r="L46" s="35" t="str">
        <x:v>his diary shows clusters of auras and brief blanks roughly every 4–5 weeks</x:v>
      </x:c>
      <x:c r="M46" s="35" t="str">
        <x:v>all six</x:v>
      </x:c>
      <x:c r="N46" s="35" t="str">
        <x:v>yes</x:v>
      </x:c>
      <x:c r="O46" s="35" t="str">
        <x:v>docs/research/six_model_hard_slice_error_mode_examples_2026-08-06.md</x:v>
      </x:c>
      <x:c r="P46" s="35" t="str">
        <x:v>experiments/six_model_hard_slice_error_mode_examples_20260806.json</x:v>
      </x:c>
    </x:row>
    <x:row r="47" ht="66" customHeight="1">
      <x:c r="A47" s="34" t="str">
        <x:v>Gan 2026</x:v>
      </x:c>
      <x:c r="B47" s="34" t="str">
        <x:v>ordinary_point_rate_llm</x:v>
      </x:c>
      <x:c r="C47" s="34" t="str">
        <x:v>llm</x:v>
      </x:c>
      <x:c r="D47" s="34" t="str">
        <x:v>model boundary</x:v>
      </x:c>
      <x:c r="E47" s="34" t="str">
        <x:v>false_multiple_word</x:v>
      </x:c>
      <x:c r="F47" s="34" t="str">
        <x:v>13114</x:v>
      </x:c>
      <x:c r="G47" s="34" t="str">
        <x:v>GPT-5.6 Sol</x:v>
      </x:c>
      <x:c r="H47" s="35" t="str">
        <x:v>1 per year</x:v>
      </x:c>
      <x:c r="I47" s="35" t="str">
        <x:v>multiple per day</x:v>
      </x:c>
      <x:c r="J47" s="35" t="str">
        <x:v>1 per day</x:v>
      </x:c>
      <x:c r="K47" s="35" t="str">
        <x:v>not rescued</x:v>
      </x:c>
      <x:c r="L47" s="35" t="str">
        <x:v>she notes brief morning myoclonic jerks on the preceding two days</x:v>
      </x:c>
      <x:c r="M47" s="35" t="str">
        <x:v>all six</x:v>
      </x:c>
      <x:c r="N47" s="35" t="str">
        <x:v>no</x:v>
      </x:c>
      <x:c r="O47" s="35" t="str">
        <x:v>docs/research/six_model_hard_slice_error_mode_examples_2026-08-06.md</x:v>
      </x:c>
      <x:c r="P47" s="35" t="str">
        <x:v>experiments/six_model_hard_slice_error_mode_examples_20260806.json</x:v>
      </x:c>
    </x:row>
    <x:row r="48" ht="66" customHeight="1">
      <x:c r="A48" s="34" t="str">
        <x:v>Gan 2026</x:v>
      </x:c>
      <x:c r="B48" s="34" t="str">
        <x:v>ordinary_point_rate_llm</x:v>
      </x:c>
      <x:c r="C48" s="34" t="str">
        <x:v>llm</x:v>
      </x:c>
      <x:c r="D48" s="34" t="str">
        <x:v>model boundary</x:v>
      </x:c>
      <x:c r="E48" s="34" t="str">
        <x:v>false_multiple_word</x:v>
      </x:c>
      <x:c r="F48" s="34" t="str">
        <x:v>1880</x:v>
      </x:c>
      <x:c r="G48" s="34" t="str">
        <x:v>GPT-5.6 Sol</x:v>
      </x:c>
      <x:c r="H48" s="35" t="str">
        <x:v>8 per 2 month</x:v>
      </x:c>
      <x:c r="I48" s="35" t="str">
        <x:v>multiple per week</x:v>
      </x:c>
      <x:c r="J48" s="35" t="str">
        <x:v>multiple per week</x:v>
      </x:c>
      <x:c r="K48" s="35" t="str">
        <x:v>not rescued</x:v>
      </x:c>
      <x:c r="L48" s="35" t="str">
        <x:v>focal onset events with a rising epigastric sensation, brief speech arrest and right-hand automatisms, occurring several times per week</x:v>
      </x:c>
      <x:c r="M48" s="35" t="str">
        <x:v>all six</x:v>
      </x:c>
      <x:c r="N48" s="35" t="str">
        <x:v>no</x:v>
      </x:c>
      <x:c r="O48" s="35" t="str">
        <x:v>docs/research/six_model_hard_slice_error_mode_examples_2026-08-06.md</x:v>
      </x:c>
      <x:c r="P48" s="35" t="str">
        <x:v>experiments/six_model_hard_slice_error_mode_examples_20260806.json</x:v>
      </x:c>
    </x:row>
    <x:row r="49" ht="66" customHeight="1">
      <x:c r="A49" s="34" t="str">
        <x:v>Gan 2026</x:v>
      </x:c>
      <x:c r="B49" s="34" t="str">
        <x:v>ordinary_point_rate_llm</x:v>
      </x:c>
      <x:c r="C49" s="34" t="str">
        <x:v>llm</x:v>
      </x:c>
      <x:c r="D49" s="34" t="str">
        <x:v>model boundary</x:v>
      </x:c>
      <x:c r="E49" s="34" t="str">
        <x:v>false_range</x:v>
      </x:c>
      <x:c r="F49" s="34" t="str">
        <x:v>12823</x:v>
      </x:c>
      <x:c r="G49" s="34" t="str">
        <x:v>GPT-5.6 Sol</x:v>
      </x:c>
      <x:c r="H49" s="35" t="str">
        <x:v>9 per month</x:v>
      </x:c>
      <x:c r="I49" s="35" t="str">
        <x:v>1 per 3 to 4 week</x:v>
      </x:c>
      <x:c r="J49" s="35" t="str">
        <x:v>9 per month</x:v>
      </x:c>
      <x:c r="K49" s="35" t="str">
        <x:v>rescue</x:v>
      </x:c>
      <x:c r="L49" s="35" t="str">
        <x:v>focal impaired-awareness episodes, now occurring roughly once every three to four weeks</x:v>
      </x:c>
      <x:c r="M49" s="35" t="str">
        <x:v>all six</x:v>
      </x:c>
      <x:c r="N49" s="35" t="str">
        <x:v>yes</x:v>
      </x:c>
      <x:c r="O49" s="35" t="str">
        <x:v>docs/research/six_model_hard_slice_error_mode_examples_2026-08-06.md</x:v>
      </x:c>
      <x:c r="P49" s="35" t="str">
        <x:v>experiments/six_model_hard_slice_error_mode_examples_20260806.json</x:v>
      </x:c>
    </x:row>
    <x:row r="50" ht="66" customHeight="1">
      <x:c r="A50" s="34" t="str">
        <x:v>Gan 2026</x:v>
      </x:c>
      <x:c r="B50" s="34" t="str">
        <x:v>ordinary_point_rate_llm</x:v>
      </x:c>
      <x:c r="C50" s="34" t="str">
        <x:v>llm</x:v>
      </x:c>
      <x:c r="D50" s="34" t="str">
        <x:v>model boundary</x:v>
      </x:c>
      <x:c r="E50" s="34" t="str">
        <x:v>false_range</x:v>
      </x:c>
      <x:c r="F50" s="34" t="str">
        <x:v>1773</x:v>
      </x:c>
      <x:c r="G50" s="34" t="str">
        <x:v>GPT-5.6 Sol</x:v>
      </x:c>
      <x:c r="H50" s="35" t="str">
        <x:v>11 per 3 month</x:v>
      </x:c>
      <x:c r="I50" s="35" t="str">
        <x:v>1 to 2 per week</x:v>
      </x:c>
      <x:c r="J50" s="35" t="str">
        <x:v>1 to 2 per week</x:v>
      </x:c>
      <x:c r="K50" s="35" t="str">
        <x:v>not rescued</x:v>
      </x:c>
      <x:c r="L50" s="35" t="str">
        <x:v>the diary still records intermittent myoclonic jerks upon awakening once or twice per week without progression to convulsion.</x:v>
      </x:c>
      <x:c r="M50" s="35" t="str">
        <x:v>not all six</x:v>
      </x:c>
      <x:c r="N50" s="35" t="str">
        <x:v>yes</x:v>
      </x:c>
      <x:c r="O50" s="35" t="str">
        <x:v>docs/research/six_model_hard_slice_error_mode_examples_2026-08-06.md</x:v>
      </x:c>
      <x:c r="P50" s="35" t="str">
        <x:v>experiments/six_model_hard_slice_error_mode_examples_20260806.json</x:v>
      </x:c>
    </x:row>
    <x:row r="51" ht="66" customHeight="1">
      <x:c r="A51" s="34" t="str">
        <x:v>Gan 2026</x:v>
      </x:c>
      <x:c r="B51" s="34" t="str">
        <x:v>ordinary_point_rate_llm</x:v>
      </x:c>
      <x:c r="C51" s="34" t="str">
        <x:v>llm</x:v>
      </x:c>
      <x:c r="D51" s="34" t="str">
        <x:v>model boundary</x:v>
      </x:c>
      <x:c r="E51" s="34" t="str">
        <x:v>false_seizure_free</x:v>
      </x:c>
      <x:c r="F51" s="34" t="str">
        <x:v>14540</x:v>
      </x:c>
      <x:c r="G51" s="34" t="str">
        <x:v>GPT-5.6 Sol</x:v>
      </x:c>
      <x:c r="H51" s="35" t="str">
        <x:v>2 per 8 month</x:v>
      </x:c>
      <x:c r="I51" s="35" t="str">
        <x:v>seizure free for multiple year</x:v>
      </x:c>
      <x:c r="J51" s="35" t="str">
        <x:v>seizure free for multiple year</x:v>
      </x:c>
      <x:c r="K51" s="35" t="str">
        <x:v>not rescued</x:v>
      </x:c>
      <x:c r="L51" s="35" t="str">
        <x:v>Since commencing Levetiracetam he has not had further events.</x:v>
      </x:c>
      <x:c r="M51" s="35" t="str">
        <x:v>all six</x:v>
      </x:c>
      <x:c r="N51" s="35" t="str">
        <x:v>no</x:v>
      </x:c>
      <x:c r="O51" s="35" t="str">
        <x:v>docs/research/six_model_hard_slice_error_mode_examples_2026-08-06.md</x:v>
      </x:c>
      <x:c r="P51" s="35" t="str">
        <x:v>experiments/six_model_hard_slice_error_mode_examples_20260806.json</x:v>
      </x:c>
    </x:row>
    <x:row r="52" ht="66" customHeight="1">
      <x:c r="A52" s="34" t="str">
        <x:v>Gan 2026</x:v>
      </x:c>
      <x:c r="B52" s="34" t="str">
        <x:v>ordinary_point_rate_llm</x:v>
      </x:c>
      <x:c r="C52" s="34" t="str">
        <x:v>llm</x:v>
      </x:c>
      <x:c r="D52" s="34" t="str">
        <x:v>model boundary</x:v>
      </x:c>
      <x:c r="E52" s="34" t="str">
        <x:v>false_seizure_free</x:v>
      </x:c>
      <x:c r="F52" s="34" t="str">
        <x:v>14581</x:v>
      </x:c>
      <x:c r="G52" s="34" t="str">
        <x:v>GPT-5.6 Sol</x:v>
      </x:c>
      <x:c r="H52" s="35" t="str">
        <x:v>2 per 3 month</x:v>
      </x:c>
      <x:c r="I52" s="35" t="str">
        <x:v>seizure free for multiple year</x:v>
      </x:c>
      <x:c r="J52" s="35" t="str">
        <x:v>1 per 1 month</x:v>
      </x:c>
      <x:c r="K52" s="35" t="str">
        <x:v>not rescued</x:v>
      </x:c>
      <x:c r="L52" s="35" t="str">
        <x:v>He has had no further events since surgical intervention and initiation of Levetiracetam.</x:v>
      </x:c>
      <x:c r="M52" s="35" t="str">
        <x:v>all six</x:v>
      </x:c>
      <x:c r="N52" s="35" t="str">
        <x:v>no</x:v>
      </x:c>
      <x:c r="O52" s="35" t="str">
        <x:v>docs/research/six_model_hard_slice_error_mode_examples_2026-08-06.md</x:v>
      </x:c>
      <x:c r="P52" s="35" t="str">
        <x:v>experiments/six_model_hard_slice_error_mode_examples_20260806.json</x:v>
      </x:c>
    </x:row>
    <x:row r="53" ht="66" customHeight="1">
      <x:c r="A53" s="34" t="str">
        <x:v>Gan 2026</x:v>
      </x:c>
      <x:c r="B53" s="34" t="str">
        <x:v>ordinary_point_rate_llm</x:v>
      </x:c>
      <x:c r="C53" s="34" t="str">
        <x:v>llm</x:v>
      </x:c>
      <x:c r="D53" s="34" t="str">
        <x:v>model boundary</x:v>
      </x:c>
      <x:c r="E53" s="34" t="str">
        <x:v>other_malformed_or_unparsed</x:v>
      </x:c>
      <x:c r="F53" s="34" t="str">
        <x:v>12788</x:v>
      </x:c>
      <x:c r="G53" s="34" t="str">
        <x:v>GPT-4.1-mini</x:v>
      </x:c>
      <x:c r="H53" s="35" t="str">
        <x:v>6 per 4 month</x:v>
      </x:c>
      <x:c r="I53" s="35" t="str">
        <x:v>6 per year</x:v>
      </x:c>
      <x:c r="J53" s="35" t="str">
        <x:v>6 per 4 month</x:v>
      </x:c>
      <x:c r="K53" s="35" t="str">
        <x:v>rescue</x:v>
      </x:c>
      <x:c r="L53" s="35" t="str">
        <x:v>only six focal impaired-awareness seizures reported so far this year</x:v>
      </x:c>
      <x:c r="M53" s="35" t="str">
        <x:v>all six</x:v>
      </x:c>
      <x:c r="N53" s="35" t="str">
        <x:v>no</x:v>
      </x:c>
      <x:c r="O53" s="35" t="str">
        <x:v>docs/research/six_model_hard_slice_error_mode_examples_2026-08-06.md</x:v>
      </x:c>
      <x:c r="P53" s="35" t="str">
        <x:v>experiments/six_model_hard_slice_error_mode_examples_20260806.json</x:v>
      </x:c>
    </x:row>
    <x:row r="54" ht="66" customHeight="1">
      <x:c r="A54" s="34" t="str">
        <x:v>Gan 2026</x:v>
      </x:c>
      <x:c r="B54" s="34" t="str">
        <x:v>ordinary_point_rate_llm</x:v>
      </x:c>
      <x:c r="C54" s="34" t="str">
        <x:v>llm</x:v>
      </x:c>
      <x:c r="D54" s="34" t="str">
        <x:v>model boundary</x:v>
      </x:c>
      <x:c r="E54" s="34" t="str">
        <x:v>other_malformed_or_unparsed</x:v>
      </x:c>
      <x:c r="F54" s="34" t="str">
        <x:v>12827</x:v>
      </x:c>
      <x:c r="G54" s="34" t="str">
        <x:v>GPT-4.1-mini</x:v>
      </x:c>
      <x:c r="H54" s="35" t="str">
        <x:v>5 per 5 month</x:v>
      </x:c>
      <x:c r="I54" s="35" t="str">
        <x:v>5 per year</x:v>
      </x:c>
      <x:c r="J54" s="35" t="str">
        <x:v>5 per 5 month</x:v>
      </x:c>
      <x:c r="K54" s="35" t="str">
        <x:v>rescue</x:v>
      </x:c>
      <x:c r="L54" s="35" t="str">
        <x:v>only five seizures so far this year</x:v>
      </x:c>
      <x:c r="M54" s="35" t="str">
        <x:v>all six</x:v>
      </x:c>
      <x:c r="N54" s="35" t="str">
        <x:v>yes</x:v>
      </x:c>
      <x:c r="O54" s="35" t="str">
        <x:v>docs/research/six_model_hard_slice_error_mode_examples_2026-08-06.md</x:v>
      </x:c>
      <x:c r="P54" s="35" t="str">
        <x:v>experiments/six_model_hard_slice_error_mode_examples_20260806.json</x:v>
      </x:c>
    </x:row>
    <x:row r="55" ht="66" customHeight="1">
      <x:c r="A55" s="34" t="str">
        <x:v>Gan 2026</x:v>
      </x:c>
      <x:c r="B55" s="34" t="str">
        <x:v>ordinary_point_rate_llm</x:v>
      </x:c>
      <x:c r="C55" s="34" t="str">
        <x:v>llm</x:v>
      </x:c>
      <x:c r="D55" s="34" t="str">
        <x:v>model boundary</x:v>
      </x:c>
      <x:c r="E55" s="34" t="str">
        <x:v>over_abstain_no_reference</x:v>
      </x:c>
      <x:c r="F55" s="34" t="str">
        <x:v>14530</x:v>
      </x:c>
      <x:c r="G55" s="34" t="str">
        <x:v>GPT-4.1-mini</x:v>
      </x:c>
      <x:c r="H55" s="35" t="str">
        <x:v>2 per 2 month</x:v>
      </x:c>
      <x:c r="I55" s="35" t="str">
        <x:v>no seizure frequency reference</x:v>
      </x:c>
      <x:c r="J55" s="35" t="str">
        <x:v>2 per 2 month</x:v>
      </x:c>
      <x:c r="K55" s="35" t="str">
        <x:v>rescue</x:v>
      </x:c>
      <x:c r="L55" s="35" t="str">
        <x:v>He reports full recollection of the onset on both occasions, with post-event fatigue but no tongue biting or incontinence. There have been no further daytime episodes, and he denies any clear triggers aside from poor sleep around travel.</x:v>
      </x:c>
      <x:c r="M55" s="35" t="str">
        <x:v>all six</x:v>
      </x:c>
      <x:c r="N55" s="35" t="str">
        <x:v>no</x:v>
      </x:c>
      <x:c r="O55" s="35" t="str">
        <x:v>docs/research/six_model_hard_slice_error_mode_examples_2026-08-06.md</x:v>
      </x:c>
      <x:c r="P55" s="35" t="str">
        <x:v>experiments/six_model_hard_slice_error_mode_examples_20260806.json</x:v>
      </x:c>
    </x:row>
    <x:row r="56" ht="66" customHeight="1">
      <x:c r="A56" s="34" t="str">
        <x:v>Gan 2026</x:v>
      </x:c>
      <x:c r="B56" s="34" t="str">
        <x:v>ordinary_point_rate_llm</x:v>
      </x:c>
      <x:c r="C56" s="34" t="str">
        <x:v>llm</x:v>
      </x:c>
      <x:c r="D56" s="34" t="str">
        <x:v>model boundary</x:v>
      </x:c>
      <x:c r="E56" s="34" t="str">
        <x:v>over_abstain_no_reference</x:v>
      </x:c>
      <x:c r="F56" s="34" t="str">
        <x:v>14611</x:v>
      </x:c>
      <x:c r="G56" s="34" t="str">
        <x:v>GPT-4.1-mini</x:v>
      </x:c>
      <x:c r="H56" s="35" t="str">
        <x:v>2 per 4 month</x:v>
      </x:c>
      <x:c r="I56" s="35" t="str">
        <x:v>no seizure frequency reference</x:v>
      </x:c>
      <x:c r="J56" s="35" t="str">
        <x:v>2 per 4 month</x:v>
      </x:c>
      <x:c r="K56" s="35" t="str">
        <x:v>rescue</x:v>
      </x:c>
      <x:c r="L56" s="35" t="str">
        <x:v>There have been no further episodes since the second event.</x:v>
      </x:c>
      <x:c r="M56" s="35" t="str">
        <x:v>all six</x:v>
      </x:c>
      <x:c r="N56" s="35" t="str">
        <x:v>no</x:v>
      </x:c>
      <x:c r="O56" s="35" t="str">
        <x:v>docs/research/six_model_hard_slice_error_mode_examples_2026-08-06.md</x:v>
      </x:c>
      <x:c r="P56" s="35" t="str">
        <x:v>experiments/six_model_hard_slice_error_mode_examples_20260806.json</x:v>
      </x:c>
    </x:row>
    <x:row r="57" ht="66" customHeight="1">
      <x:c r="A57" s="34" t="str">
        <x:v>Gan 2026</x:v>
      </x:c>
      <x:c r="B57" s="34" t="str">
        <x:v>ordinary_point_rate_llm</x:v>
      </x:c>
      <x:c r="C57" s="34" t="str">
        <x:v>llm</x:v>
      </x:c>
      <x:c r="D57" s="34" t="str">
        <x:v>model boundary</x:v>
      </x:c>
      <x:c r="E57" s="34" t="str">
        <x:v>over_abstain_unknown</x:v>
      </x:c>
      <x:c r="F57" s="34" t="str">
        <x:v>12788</x:v>
      </x:c>
      <x:c r="G57" s="34" t="str">
        <x:v>GPT-5.6 Sol</x:v>
      </x:c>
      <x:c r="H57" s="35" t="str">
        <x:v>6 per 4 month</x:v>
      </x:c>
      <x:c r="I57" s="35" t="str">
        <x:v>6 per year</x:v>
      </x:c>
      <x:c r="J57" s="35" t="str">
        <x:v>6 per 4 month</x:v>
      </x:c>
      <x:c r="K57" s="35" t="str">
        <x:v>rescue</x:v>
      </x:c>
      <x:c r="L57" s="35" t="str">
        <x:v>with only six focal impaired-awareness seizures reported so far this year</x:v>
      </x:c>
      <x:c r="M57" s="35" t="str">
        <x:v>all six</x:v>
      </x:c>
      <x:c r="N57" s="35" t="str">
        <x:v>no</x:v>
      </x:c>
      <x:c r="O57" s="35" t="str">
        <x:v>docs/research/six_model_hard_slice_error_mode_examples_2026-08-06.md</x:v>
      </x:c>
      <x:c r="P57" s="35" t="str">
        <x:v>experiments/six_model_hard_slice_error_mode_examples_20260806.json</x:v>
      </x:c>
    </x:row>
    <x:row r="58" ht="66" customHeight="1">
      <x:c r="A58" s="34" t="str">
        <x:v>Gan 2026</x:v>
      </x:c>
      <x:c r="B58" s="34" t="str">
        <x:v>ordinary_point_rate_llm</x:v>
      </x:c>
      <x:c r="C58" s="34" t="str">
        <x:v>llm</x:v>
      </x:c>
      <x:c r="D58" s="34" t="str">
        <x:v>model boundary</x:v>
      </x:c>
      <x:c r="E58" s="34" t="str">
        <x:v>over_abstain_unknown</x:v>
      </x:c>
      <x:c r="F58" s="34" t="str">
        <x:v>12810</x:v>
      </x:c>
      <x:c r="G58" s="34" t="str">
        <x:v>GPT-5.6 Sol</x:v>
      </x:c>
      <x:c r="H58" s="35" t="str">
        <x:v>5 per 2 month</x:v>
      </x:c>
      <x:c r="I58" s="35" t="str">
        <x:v>5 per year</x:v>
      </x:c>
      <x:c r="J58" s="35" t="str">
        <x:v>5 per 2 month</x:v>
      </x:c>
      <x:c r="K58" s="35" t="str">
        <x:v>rescue</x:v>
      </x:c>
      <x:c r="L58" s="35" t="str">
        <x:v>just five generalised tonic-clonic seizures documented this year to date</x:v>
      </x:c>
      <x:c r="M58" s="35" t="str">
        <x:v>all six</x:v>
      </x:c>
      <x:c r="N58" s="35" t="str">
        <x:v>no</x:v>
      </x:c>
      <x:c r="O58" s="35" t="str">
        <x:v>docs/research/six_model_hard_slice_error_mode_examples_2026-08-06.md</x:v>
      </x:c>
      <x:c r="P58" s="35" t="str">
        <x:v>experiments/six_model_hard_slice_error_mode_examples_20260806.json</x:v>
      </x:c>
    </x:row>
    <x:row r="59" ht="66" customHeight="1">
      <x:c r="A59" s="34" t="str">
        <x:v>Gan 2026</x:v>
      </x:c>
      <x:c r="B59" s="34" t="str">
        <x:v>ordinary_point_rate_llm</x:v>
      </x:c>
      <x:c r="C59" s="34" t="str">
        <x:v>llm</x:v>
      </x:c>
      <x:c r="D59" s="34" t="str">
        <x:v>model boundary</x:v>
      </x:c>
      <x:c r="E59" s="34" t="str">
        <x:v>parse_or_call_failure</x:v>
      </x:c>
      <x:c r="F59" s="34" t="str">
        <x:v>16719</x:v>
      </x:c>
      <x:c r="G59" s="34" t="str">
        <x:v>Qwen 3.6:35B</x:v>
      </x:c>
      <x:c r="H59" s="35" t="str">
        <x:v>7 per 6 month</x:v>
      </x:c>
      <x:c r="I59" s="35" t="str"/>
      <x:c r="J59" s="35" t="str">
        <x:v>1 per week</x:v>
      </x:c>
      <x:c r="K59" s="35" t="str">
        <x:v>not rescued</x:v>
      </x:c>
      <x:c r="L59" s="35" t="str"/>
      <x:c r="M59" s="35" t="str">
        <x:v>all six</x:v>
      </x:c>
      <x:c r="N59" s="35" t="str">
        <x:v>no</x:v>
      </x:c>
      <x:c r="O59" s="35" t="str">
        <x:v>docs/research/six_model_hard_slice_error_mode_examples_2026-08-06.md</x:v>
      </x:c>
      <x:c r="P59" s="35" t="str">
        <x:v>experiments/six_model_hard_slice_error_mode_examples_20260806.json</x:v>
      </x:c>
    </x:row>
    <x:row r="60" ht="66" customHeight="1">
      <x:c r="A60" s="34" t="str">
        <x:v>Gan 2026</x:v>
      </x:c>
      <x:c r="B60" s="34" t="str">
        <x:v>ordinary_point_rate_llm</x:v>
      </x:c>
      <x:c r="C60" s="34" t="str">
        <x:v>llm</x:v>
      </x:c>
      <x:c r="D60" s="34" t="str">
        <x:v>model boundary</x:v>
      </x:c>
      <x:c r="E60" s="34" t="str">
        <x:v>parse_or_call_failure</x:v>
      </x:c>
      <x:c r="F60" s="34" t="str">
        <x:v>16839</x:v>
      </x:c>
      <x:c r="G60" s="34" t="str">
        <x:v>Qwen 3.6:35B</x:v>
      </x:c>
      <x:c r="H60" s="35" t="str">
        <x:v>9 per 4 month</x:v>
      </x:c>
      <x:c r="I60" s="35" t="str"/>
      <x:c r="J60" s="35" t="str">
        <x:v>multiple per week</x:v>
      </x:c>
      <x:c r="K60" s="35" t="str">
        <x:v>not rescued</x:v>
      </x:c>
      <x:c r="L60" s="35" t="str"/>
      <x:c r="M60" s="35" t="str">
        <x:v>all six</x:v>
      </x:c>
      <x:c r="N60" s="35" t="str">
        <x:v>no</x:v>
      </x:c>
      <x:c r="O60" s="35" t="str">
        <x:v>docs/research/six_model_hard_slice_error_mode_examples_2026-08-06.md</x:v>
      </x:c>
      <x:c r="P60" s="35" t="str">
        <x:v>experiments/six_model_hard_slice_error_mode_examples_20260806.json</x:v>
      </x:c>
    </x:row>
    <x:row r="61" ht="66" customHeight="1">
      <x:c r="A61" s="34" t="str">
        <x:v>Gan 2026</x:v>
      </x:c>
      <x:c r="B61" s="34" t="str">
        <x:v>ordinary_point_rate_llm</x:v>
      </x:c>
      <x:c r="C61" s="34" t="str">
        <x:v>llm</x:v>
      </x:c>
      <x:c r="D61" s="34" t="str">
        <x:v>model boundary</x:v>
      </x:c>
      <x:c r="E61" s="34" t="str">
        <x:v>wrong_point_rate_selection</x:v>
      </x:c>
      <x:c r="F61" s="34" t="str">
        <x:v>13149</x:v>
      </x:c>
      <x:c r="G61" s="34" t="str">
        <x:v>GPT-5.6 Sol</x:v>
      </x:c>
      <x:c r="H61" s="35" t="str">
        <x:v>3 per year</x:v>
      </x:c>
      <x:c r="I61" s="35" t="str">
        <x:v>3 per day</x:v>
      </x:c>
      <x:c r="J61" s="35" t="str">
        <x:v>3 per 1 year</x:v>
      </x:c>
      <x:c r="K61" s="35" t="str">
        <x:v>rescue</x:v>
      </x:c>
      <x:c r="L61" s="35" t="str">
        <x:v>myoclonic jerks leading to 3 tonic seizure 2 Saturdays ago</x:v>
      </x:c>
      <x:c r="M61" s="35" t="str">
        <x:v>all six</x:v>
      </x:c>
      <x:c r="N61" s="35" t="str">
        <x:v>no</x:v>
      </x:c>
      <x:c r="O61" s="35" t="str">
        <x:v>docs/research/six_model_hard_slice_error_mode_examples_2026-08-06.md</x:v>
      </x:c>
      <x:c r="P61" s="35" t="str">
        <x:v>experiments/six_model_hard_slice_error_mode_examples_20260806.json</x:v>
      </x:c>
    </x:row>
    <x:row r="62" ht="66" customHeight="1">
      <x:c r="A62" s="34" t="str">
        <x:v>Gan 2026</x:v>
      </x:c>
      <x:c r="B62" s="34" t="str">
        <x:v>ordinary_point_rate_llm</x:v>
      </x:c>
      <x:c r="C62" s="34" t="str">
        <x:v>llm</x:v>
      </x:c>
      <x:c r="D62" s="34" t="str">
        <x:v>model boundary</x:v>
      </x:c>
      <x:c r="E62" s="34" t="str">
        <x:v>wrong_point_rate_selection</x:v>
      </x:c>
      <x:c r="F62" s="34" t="str">
        <x:v>13290</x:v>
      </x:c>
      <x:c r="G62" s="34" t="str">
        <x:v>GPT-5.6 Sol</x:v>
      </x:c>
      <x:c r="H62" s="35" t="str">
        <x:v>4 per 6 month</x:v>
      </x:c>
      <x:c r="I62" s="35" t="str">
        <x:v>2 per day</x:v>
      </x:c>
      <x:c r="J62" s="35" t="str">
        <x:v>2 per 6 month</x:v>
      </x:c>
      <x:c r="K62" s="35" t="str">
        <x:v>rescue</x:v>
      </x:c>
      <x:c r="L62" s="35" t="str">
        <x:v>He did not have seizures for over 6 months, but then reported two generalised tonic-clonic seizures two Fridays ago</x:v>
      </x:c>
      <x:c r="M62" s="35" t="str">
        <x:v>all six</x:v>
      </x:c>
      <x:c r="N62" s="35" t="str">
        <x:v>no</x:v>
      </x:c>
      <x:c r="O62" s="35" t="str">
        <x:v>docs/research/six_model_hard_slice_error_mode_examples_2026-08-06.md</x:v>
      </x:c>
      <x:c r="P62" s="35" t="str">
        <x:v>experiments/six_model_hard_slice_error_mode_examples_20260806.json</x:v>
      </x:c>
    </x:row>
    <x:row r="63" ht="66" customHeight="1">
      <x:c r="A63" s="34" t="str">
        <x:v>ExECTv2</x:v>
      </x:c>
      <x:c r="B63" s="34" t="str">
        <x:v>seizure_frequency_llm</x:v>
      </x:c>
      <x:c r="C63" s="34" t="str">
        <x:v>llm</x:v>
      </x:c>
      <x:c r="D63" s="34" t="str">
        <x:v>family unit keys</x:v>
      </x:c>
      <x:c r="E63" s="34" t="str">
        <x:v>empty_gold_spurious</x:v>
      </x:c>
      <x:c r="F63" s="34" t="str">
        <x:v>EA0092</x:v>
      </x:c>
      <x:c r="G63" s="34" t="str">
        <x:v>GPT-5.6 Sol</x:v>
      </x:c>
      <x:c r="H63" s="35" t="str"/>
      <x:c r="I63" s="35" t="str">
        <x:v>(('phrase', 'cluster of complex partial seizures'), 'active-rate')</x:v>
      </x:c>
      <x:c r="J63" s="35" t="str"/>
      <x:c r="K63" s="35" t="str"/>
      <x:c r="L63" s="35" t="str">
        <x:v>{"attributes":{"NumberOfSeizures":"1"},"text":"cluster of complex partial seizures"}</x:v>
      </x:c>
      <x:c r="M63" s="35" t="str">
        <x:v>all six</x:v>
      </x:c>
      <x:c r="N63" s="35" t="str"/>
      <x:c r="O63" s="35" t="str">
        <x:v>docs/research/six_model_hard_slice_error_mode_examples_2026-08-06.md</x:v>
      </x:c>
      <x:c r="P63" s="35" t="str">
        <x:v>experiments/six_model_hard_slice_error_mode_examples_20260806.json</x:v>
      </x:c>
    </x:row>
    <x:row r="64" ht="66" customHeight="1">
      <x:c r="A64" s="34" t="str">
        <x:v>ExECTv2</x:v>
      </x:c>
      <x:c r="B64" s="34" t="str">
        <x:v>seizure_frequency_llm</x:v>
      </x:c>
      <x:c r="C64" s="34" t="str">
        <x:v>llm</x:v>
      </x:c>
      <x:c r="D64" s="34" t="str">
        <x:v>family unit keys</x:v>
      </x:c>
      <x:c r="E64" s="34" t="str">
        <x:v>empty_gold_spurious</x:v>
      </x:c>
      <x:c r="F64" s="34" t="str">
        <x:v>EA0104</x:v>
      </x:c>
      <x:c r="G64" s="34" t="str">
        <x:v>GPT-5.6 Sol</x:v>
      </x:c>
      <x:c r="H64" s="35" t="str"/>
      <x:c r="I64" s="35" t="str">
        <x:v>(('cui', 'C0036572'), 'active-rate')</x:v>
      </x:c>
      <x:c r="J64" s="35" t="str"/>
      <x:c r="K64" s="35" t="str"/>
      <x:c r="L64" s="35" t="str">
        <x:v>{"attributes":{"CUI":"C0036572","CUIPhrase":"seizures","NumberOfSeizures":"3","NumberOfTimePeriods":"1","TimePeriod":"Week"},"text":"seizures"}</x:v>
      </x:c>
      <x:c r="M64" s="35" t="str">
        <x:v>all six</x:v>
      </x:c>
      <x:c r="N64" s="35" t="str"/>
      <x:c r="O64" s="35" t="str">
        <x:v>docs/research/six_model_hard_slice_error_mode_examples_2026-08-06.md</x:v>
      </x:c>
      <x:c r="P64" s="35" t="str">
        <x:v>experiments/six_model_hard_slice_error_mode_examples_20260806.json</x:v>
      </x:c>
    </x:row>
    <x:row r="65" ht="66" customHeight="1">
      <x:c r="A65" s="34" t="str">
        <x:v>ExECTv2</x:v>
      </x:c>
      <x:c r="B65" s="34" t="str">
        <x:v>seizure_frequency_llm</x:v>
      </x:c>
      <x:c r="C65" s="34" t="str">
        <x:v>llm</x:v>
      </x:c>
      <x:c r="D65" s="34" t="str">
        <x:v>family unit keys</x:v>
      </x:c>
      <x:c r="E65" s="34" t="str">
        <x:v>extra_states_only</x:v>
      </x:c>
      <x:c r="F65" s="34" t="str">
        <x:v>EA0142</x:v>
      </x:c>
      <x:c r="G65" s="34" t="str">
        <x:v>GPT-5.6 Sol</x:v>
      </x:c>
      <x:c r="H65" s="35" t="str">
        <x:v>(('cui', 'C0036572'), 'seizure-free')</x:v>
      </x:c>
      <x:c r="I65" s="35" t="str">
        <x:v>(('cui', 'C0036572'), 'active-rate') | (('cui', 'C0036572'), 'seizure-free')</x:v>
      </x:c>
      <x:c r="J65" s="35" t="str"/>
      <x:c r="K65" s="35" t="str"/>
      <x:c r="L65" s="35" t="str">
        <x:v>{"attributes":{"CUI":"C0036572","CUIPhrase":"seizures","NumberOfSeizures":"3","NumberOfTimePeriods":"1","TimePeriod":"Month"},"text":"seizures"} | {"attributes":{"CUI":"C0036572","CUIPhrase":"seizures","DayDate":"6","MonthDate":"2","NumberOfSeizures":"0","TimeSince_or_TimeOfEvent":"Since","YearDate":"2015"},"text":"seizures"}</x:v>
      </x:c>
      <x:c r="M65" s="35" t="str">
        <x:v>all six</x:v>
      </x:c>
      <x:c r="N65" s="35" t="str"/>
      <x:c r="O65" s="35" t="str">
        <x:v>docs/research/six_model_hard_slice_error_mode_examples_2026-08-06.md</x:v>
      </x:c>
      <x:c r="P65" s="35" t="str">
        <x:v>experiments/six_model_hard_slice_error_mode_examples_20260806.json</x:v>
      </x:c>
    </x:row>
    <x:row r="66" ht="66" customHeight="1">
      <x:c r="A66" s="34" t="str">
        <x:v>ExECTv2</x:v>
      </x:c>
      <x:c r="B66" s="34" t="str">
        <x:v>seizure_frequency_llm</x:v>
      </x:c>
      <x:c r="C66" s="34" t="str">
        <x:v>llm</x:v>
      </x:c>
      <x:c r="D66" s="34" t="str">
        <x:v>family unit keys</x:v>
      </x:c>
      <x:c r="E66" s="34" t="str">
        <x:v>extra_states_only</x:v>
      </x:c>
      <x:c r="F66" s="34" t="str">
        <x:v>EA0162</x:v>
      </x:c>
      <x:c r="G66" s="34" t="str">
        <x:v>GPT-5.6 Sol</x:v>
      </x:c>
      <x:c r="H66" s="35" t="str">
        <x:v>(('cui', 'C0036572'), 'seizure-free')</x:v>
      </x:c>
      <x:c r="I66" s="35" t="str">
        <x:v>(('cui', 'C0036572'), 'seizure-free') | (('cui', 'C0036572'), 'active-rate')</x:v>
      </x:c>
      <x:c r="J66" s="35" t="str"/>
      <x:c r="K66" s="35" t="str"/>
      <x:c r="L66" s="35" t="str">
        <x:v>{"attributes":{"CUI":"C0036572","CUIPhrase":"seizures","NumberOfSeizures":"0","PointInTime":"LastClinic","TimeSince_or_TimeOfEvent":"Since"},"text":"seizures"} | {"attributes":{"CUI":"C0036572","CUIPhrase":"seizures","MonthDate":"12","NumberOfSeizures":"3","NumberOfTimePeriods":"1","TimePeriod":"Day","TimeSince_or_TimeOfEvent":"During"},"text":"seizures"}</x:v>
      </x:c>
      <x:c r="M66" s="35" t="str">
        <x:v>all six</x:v>
      </x:c>
      <x:c r="N66" s="35" t="str"/>
      <x:c r="O66" s="35" t="str">
        <x:v>docs/research/six_model_hard_slice_error_mode_examples_2026-08-06.md</x:v>
      </x:c>
      <x:c r="P66" s="35" t="str">
        <x:v>experiments/six_model_hard_slice_error_mode_examples_20260806.json</x:v>
      </x:c>
    </x:row>
    <x:row r="67" ht="66" customHeight="1">
      <x:c r="A67" s="34" t="str">
        <x:v>ExECTv2</x:v>
      </x:c>
      <x:c r="B67" s="34" t="str">
        <x:v>seizure_frequency_llm</x:v>
      </x:c>
      <x:c r="C67" s="34" t="str">
        <x:v>llm</x:v>
      </x:c>
      <x:c r="D67" s="34" t="str">
        <x:v>family unit keys</x:v>
      </x:c>
      <x:c r="E67" s="34" t="str">
        <x:v>missed_all_sf</x:v>
      </x:c>
      <x:c r="F67" s="34" t="str">
        <x:v>EA0176</x:v>
      </x:c>
      <x:c r="G67" s="34" t="str">
        <x:v>GPT-5.6 Sol</x:v>
      </x:c>
      <x:c r="H67" s="35" t="str">
        <x:v>(('cui', 'C1299590'), 'seizure-free')</x:v>
      </x:c>
      <x:c r="I67" s="35" t="str"/>
      <x:c r="J67" s="35" t="str"/>
      <x:c r="K67" s="35" t="str"/>
      <x:c r="L67" s="35" t="str"/>
      <x:c r="M67" s="35" t="str">
        <x:v>all six</x:v>
      </x:c>
      <x:c r="N67" s="35" t="str"/>
      <x:c r="O67" s="35" t="str">
        <x:v>docs/research/six_model_hard_slice_error_mode_examples_2026-08-06.md</x:v>
      </x:c>
      <x:c r="P67" s="35" t="str">
        <x:v>experiments/six_model_hard_slice_error_mode_examples_20260806.json</x:v>
      </x:c>
    </x:row>
    <x:row r="68" ht="66" customHeight="1">
      <x:c r="A68" s="34" t="str">
        <x:v>ExECTv2</x:v>
      </x:c>
      <x:c r="B68" s="34" t="str">
        <x:v>seizure_frequency_llm</x:v>
      </x:c>
      <x:c r="C68" s="34" t="str">
        <x:v>llm</x:v>
      </x:c>
      <x:c r="D68" s="34" t="str">
        <x:v>family unit keys</x:v>
      </x:c>
      <x:c r="E68" s="34" t="str">
        <x:v>missed_all_sf</x:v>
      </x:c>
      <x:c r="F68" s="34" t="str">
        <x:v>EA0139</x:v>
      </x:c>
      <x:c r="G68" s="34" t="str">
        <x:v>GPT-4.1-mini</x:v>
      </x:c>
      <x:c r="H68" s="35" t="str">
        <x:v>(('cui', 'C0494475'), 'active-rate')</x:v>
      </x:c>
      <x:c r="I68" s="35" t="str"/>
      <x:c r="J68" s="35" t="str"/>
      <x:c r="K68" s="35" t="str"/>
      <x:c r="L68" s="35" t="str"/>
      <x:c r="M68" s="35" t="str">
        <x:v>all six</x:v>
      </x:c>
      <x:c r="N68" s="35" t="str"/>
      <x:c r="O68" s="35" t="str">
        <x:v>docs/research/six_model_hard_slice_error_mode_examples_2026-08-06.md</x:v>
      </x:c>
      <x:c r="P68" s="35" t="str">
        <x:v>experiments/six_model_hard_slice_error_mode_examples_20260806.json</x:v>
      </x:c>
    </x:row>
    <x:row r="69" ht="66" customHeight="1">
      <x:c r="A69" s="34" t="str">
        <x:v>ExECTv2</x:v>
      </x:c>
      <x:c r="B69" s="34" t="str">
        <x:v>seizure_frequency_llm</x:v>
      </x:c>
      <x:c r="C69" s="34" t="str">
        <x:v>llm</x:v>
      </x:c>
      <x:c r="D69" s="34" t="str">
        <x:v>family unit keys</x:v>
      </x:c>
      <x:c r="E69" s="34" t="str">
        <x:v>missed_states_only</x:v>
      </x:c>
      <x:c r="F69" s="34" t="str">
        <x:v>EA0022</x:v>
      </x:c>
      <x:c r="G69" s="34" t="str">
        <x:v>GPT-5.6 Sol</x:v>
      </x:c>
      <x:c r="H69" s="35" t="str">
        <x:v>(('cui', 'C0751495'), 'seizure-free') | (('cui', 'C0036572'), 'unknown')</x:v>
      </x:c>
      <x:c r="I69" s="35" t="str">
        <x:v>(('cui', 'C0751495'), 'seizure-free')</x:v>
      </x:c>
      <x:c r="J69" s="35" t="str"/>
      <x:c r="K69" s="35" t="str"/>
      <x:c r="L69" s="35" t="str">
        <x:v>{"attributes":{"CUI":"C0751495","CUIPhrase":"focal seizures","FrequencyChange":"Infrequent","NumberOfSeizures":"0","PointInTime":"DrugChange"},"text":"focal seizures"}</x:v>
      </x:c>
      <x:c r="M69" s="35" t="str">
        <x:v>all six</x:v>
      </x:c>
      <x:c r="N69" s="35" t="str"/>
      <x:c r="O69" s="35" t="str">
        <x:v>docs/research/six_model_hard_slice_error_mode_examples_2026-08-06.md</x:v>
      </x:c>
      <x:c r="P69" s="35" t="str">
        <x:v>experiments/six_model_hard_slice_error_mode_examples_20260806.json</x:v>
      </x:c>
    </x:row>
    <x:row r="70" ht="66" customHeight="1">
      <x:c r="A70" s="34" t="str">
        <x:v>ExECTv2</x:v>
      </x:c>
      <x:c r="B70" s="34" t="str">
        <x:v>seizure_frequency_llm</x:v>
      </x:c>
      <x:c r="C70" s="34" t="str">
        <x:v>llm</x:v>
      </x:c>
      <x:c r="D70" s="34" t="str">
        <x:v>family unit keys</x:v>
      </x:c>
      <x:c r="E70" s="34" t="str">
        <x:v>missed_states_only</x:v>
      </x:c>
      <x:c r="F70" s="34" t="str">
        <x:v>EA0082</x:v>
      </x:c>
      <x:c r="G70" s="34" t="str">
        <x:v>GPT-5.6 Sol</x:v>
      </x:c>
      <x:c r="H70" s="35" t="str">
        <x:v>(('cui', 'C0563606'), 'active-rate') | (('cui', 'C0563606'), 'unknown') | (('cui', 'C0494475'), 'seizure-free')</x:v>
      </x:c>
      <x:c r="I70" s="35" t="str">
        <x:v>(('cui', 'C0563606'), 'active-rate') | (('cui', 'C0494475'), 'seizure-free')</x:v>
      </x:c>
      <x:c r="J70" s="35" t="str"/>
      <x:c r="K70" s="35" t="str"/>
      <x:c r="L70" s="35" t="str">
        <x:v>{"attributes":{"CUI":"C0563606","CUIPhrase":"absences","Certainty":"4","FrequencyChange":"Frequent","LowerNumberOfSeizures":"2","Negation":"Affirmed","NumberOfTimePeriods":"1","TimePeriod":"Day","UpperNumberOfSeizures":"3"},"text":"absences"} | {"attributes":{"CUI":"C0494475","CUIPhrase":"generalised tonic clonic seizure","Negation":"Affirmed","NumberOfSeizures":"0","NumberOfTimePeriods":"2","TimePeriod":"Year","TimeSince_or_TimeOfEvent":"Since"},"text":"generalised tonic clonic seizure"}</x:v>
      </x:c>
      <x:c r="M70" s="35" t="str">
        <x:v>all six</x:v>
      </x:c>
      <x:c r="N70" s="35" t="str"/>
      <x:c r="O70" s="35" t="str">
        <x:v>docs/research/six_model_hard_slice_error_mode_examples_2026-08-06.md</x:v>
      </x:c>
      <x:c r="P70" s="35" t="str">
        <x:v>experiments/six_model_hard_slice_error_mode_examples_20260806.json</x:v>
      </x:c>
    </x:row>
    <x:row r="71" ht="66" customHeight="1">
      <x:c r="A71" s="34" t="str">
        <x:v>ExECTv2</x:v>
      </x:c>
      <x:c r="B71" s="34" t="str">
        <x:v>seizure_frequency_llm</x:v>
      </x:c>
      <x:c r="C71" s="34" t="str">
        <x:v>llm</x:v>
      </x:c>
      <x:c r="D71" s="34" t="str">
        <x:v>family unit keys</x:v>
      </x:c>
      <x:c r="E71" s="34" t="str">
        <x:v>substituted_or_mixed</x:v>
      </x:c>
      <x:c r="F71" s="34" t="str">
        <x:v>EA0011</x:v>
      </x:c>
      <x:c r="G71" s="34" t="str">
        <x:v>GPT-5.6 Sol</x:v>
      </x:c>
      <x:c r="H71" s="35" t="str">
        <x:v>(('cui', 'C0270834'), 'active-rate') | (('cui', 'C0877017'), 'seizure-free') | (('cui', 'C0877017'), 'unknown') | (('cui', 'C0751494'), 'seizure-free')</x:v>
      </x:c>
      <x:c r="I71" s="35" t="str">
        <x:v>(('cui', 'C0270834'), 'active-rate') | (('cui', 'C0877017'), 'seizure-free') | (('cui', 'C0877017'), 'active-rate')</x:v>
      </x:c>
      <x:c r="J71" s="35" t="str"/>
      <x:c r="K71" s="35" t="str"/>
      <x:c r="L71" s="35" t="str">
        <x:v>{"attributes":{"CUI":"C0270834","CUIPhrase":"Focal seizures with altered awareness","NumberOfSeizures":"1","NumberOfTimePeriods":"2","TimePeriod":"Week"},"text":"Focal seizures with altered awareness"} | {"attributes":{"CUI":"C0877017","CUIPhrase":"Focal to bilateral convulsive seizures","MonthDate":"12","NumberOfSeizures":"0","TimeSince_or_TimeOfEvent":"Since","YearDate":"2017"},"text":"Focal to bilateral convulsive seizures"} | {"attributes":{"CUI":"C0877017","CUIPhrase":"focal to bilateral convulsive seizures","NumberOfSeizures":"2","TimeSince_or_TimeOfEvent":"During","YearDate":"2003"},"text":"focal to bilateral convulsive seizures"}</x:v>
      </x:c>
      <x:c r="M71" s="35" t="str">
        <x:v>all six</x:v>
      </x:c>
      <x:c r="N71" s="35" t="str"/>
      <x:c r="O71" s="35" t="str">
        <x:v>docs/research/six_model_hard_slice_error_mode_examples_2026-08-06.md</x:v>
      </x:c>
      <x:c r="P71" s="35" t="str">
        <x:v>experiments/six_model_hard_slice_error_mode_examples_20260806.json</x:v>
      </x:c>
    </x:row>
    <x:row r="72" ht="66" customHeight="1">
      <x:c r="A72" s="34" t="str">
        <x:v>ExECTv2</x:v>
      </x:c>
      <x:c r="B72" s="34" t="str">
        <x:v>seizure_frequency_llm</x:v>
      </x:c>
      <x:c r="C72" s="34" t="str">
        <x:v>llm</x:v>
      </x:c>
      <x:c r="D72" s="34" t="str">
        <x:v>family unit keys</x:v>
      </x:c>
      <x:c r="E72" s="34" t="str">
        <x:v>substituted_or_mixed</x:v>
      </x:c>
      <x:c r="F72" s="34" t="str">
        <x:v>EA0025</x:v>
      </x:c>
      <x:c r="G72" s="34" t="str">
        <x:v>GPT-5.6 Sol</x:v>
      </x:c>
      <x:c r="H72" s="35" t="str">
        <x:v>(('cui', 'C0494475'), 'active-rate') | (('cui', 'C0027066'), 'unknown')</x:v>
      </x:c>
      <x:c r="I72" s="35" t="str">
        <x:v>(('cui', 'C0036572'), 'active-rate')</x:v>
      </x:c>
      <x:c r="J72" s="35" t="str"/>
      <x:c r="K72" s="35" t="str"/>
      <x:c r="L72" s="35" t="str">
        <x:v>{"attributes":{"CUI":"C0036572","CUIPhrase":"seizures","LowerNumberOfSeizures":"3","NumberOfTimePeriods":"1","TimePeriod":"Week","UpperNumberOfSeizures":"4"},"text":"seizures"}</x:v>
      </x:c>
      <x:c r="M72" s="35" t="str">
        <x:v>all six</x:v>
      </x:c>
      <x:c r="N72" s="35" t="str"/>
      <x:c r="O72" s="35" t="str">
        <x:v>docs/research/six_model_hard_slice_error_mode_examples_2026-08-06.md</x:v>
      </x:c>
      <x:c r="P72" s="35" t="str">
        <x:v>experiments/six_model_hard_slice_error_mode_examples_20260806.json</x:v>
      </x:c>
    </x:row>
    <x:row r="73" ht="66" customHeight="1">
      <x:c r="A73" s="34" t="str">
        <x:v>ExECTv2</x:v>
      </x:c>
      <x:c r="B73" s="34" t="str">
        <x:v>seizure_frequency_llm_with_rules</x:v>
      </x:c>
      <x:c r="C73" s="34" t="str">
        <x:v>llm_with_rules</x:v>
      </x:c>
      <x:c r="D73" s="34" t="str">
        <x:v>family unit keys</x:v>
      </x:c>
      <x:c r="E73" s="34" t="str">
        <x:v>empty_gold_spurious</x:v>
      </x:c>
      <x:c r="F73" s="34" t="str">
        <x:v>EA0092</x:v>
      </x:c>
      <x:c r="G73" s="34" t="str">
        <x:v>GPT-5.6 Sol</x:v>
      </x:c>
      <x:c r="H73" s="35" t="str"/>
      <x:c r="I73" s="35" t="str">
        <x:v>(('phrase', 'cluster of complex partial seizures'), 'active-rate')</x:v>
      </x:c>
      <x:c r="J73" s="35" t="str"/>
      <x:c r="K73" s="35" t="str"/>
      <x:c r="L73" s="35" t="str">
        <x:v>{"attributes":{"NumberOfSeizures":"1"},"text":"cluster of complex partial seizures"}</x:v>
      </x:c>
      <x:c r="M73" s="35" t="str">
        <x:v>all six</x:v>
      </x:c>
      <x:c r="N73" s="35" t="str"/>
      <x:c r="O73" s="35" t="str">
        <x:v>docs/research/six_model_hard_slice_error_mode_examples_2026-08-06.md</x:v>
      </x:c>
      <x:c r="P73" s="35" t="str">
        <x:v>experiments/six_model_hard_slice_error_mode_examples_20260806.json</x:v>
      </x:c>
    </x:row>
    <x:row r="74" ht="66" customHeight="1">
      <x:c r="A74" s="34" t="str">
        <x:v>ExECTv2</x:v>
      </x:c>
      <x:c r="B74" s="34" t="str">
        <x:v>seizure_frequency_llm_with_rules</x:v>
      </x:c>
      <x:c r="C74" s="34" t="str">
        <x:v>llm_with_rules</x:v>
      </x:c>
      <x:c r="D74" s="34" t="str">
        <x:v>family unit keys</x:v>
      </x:c>
      <x:c r="E74" s="34" t="str">
        <x:v>empty_gold_spurious</x:v>
      </x:c>
      <x:c r="F74" s="34" t="str">
        <x:v>EA0148</x:v>
      </x:c>
      <x:c r="G74" s="34" t="str">
        <x:v>GPT-5.6 Sol</x:v>
      </x:c>
      <x:c r="H74" s="35" t="str"/>
      <x:c r="I74" s="35" t="str">
        <x:v>(('cui', 'C0036572'), 'active-rate')</x:v>
      </x:c>
      <x:c r="J74" s="35" t="str"/>
      <x:c r="K74" s="35" t="str"/>
      <x:c r="L74" s="35" t="str">
        <x:v>{"attributes":{"CUI":"C0036572","CUIPhrase":"seizures","NumberOfSeizures":"2"},"text":"seizures"}</x:v>
      </x:c>
      <x:c r="M74" s="35" t="str">
        <x:v>all six</x:v>
      </x:c>
      <x:c r="N74" s="35" t="str"/>
      <x:c r="O74" s="35" t="str">
        <x:v>docs/research/six_model_hard_slice_error_mode_examples_2026-08-06.md</x:v>
      </x:c>
      <x:c r="P74" s="35" t="str">
        <x:v>experiments/six_model_hard_slice_error_mode_examples_20260806.json</x:v>
      </x:c>
    </x:row>
    <x:row r="75" ht="66" customHeight="1">
      <x:c r="A75" s="34" t="str">
        <x:v>ExECTv2</x:v>
      </x:c>
      <x:c r="B75" s="34" t="str">
        <x:v>seizure_frequency_llm_with_rules</x:v>
      </x:c>
      <x:c r="C75" s="34" t="str">
        <x:v>llm_with_rules</x:v>
      </x:c>
      <x:c r="D75" s="34" t="str">
        <x:v>family unit keys</x:v>
      </x:c>
      <x:c r="E75" s="34" t="str">
        <x:v>extra_states_only</x:v>
      </x:c>
      <x:c r="F75" s="34" t="str">
        <x:v>EA0162</x:v>
      </x:c>
      <x:c r="G75" s="34" t="str">
        <x:v>GPT-5.6 Sol</x:v>
      </x:c>
      <x:c r="H75" s="35" t="str">
        <x:v>(('cui', 'C0036572'), 'seizure-free')</x:v>
      </x:c>
      <x:c r="I75" s="35" t="str">
        <x:v>(('cui', 'C0036572'), 'seizure-free') | (('cui', 'C0036572'), 'active-rate')</x:v>
      </x:c>
      <x:c r="J75" s="35" t="str"/>
      <x:c r="K75" s="35" t="str"/>
      <x:c r="L75" s="35" t="str">
        <x:v>{"attributes":{"CUI":"C0036572","CUIPhrase":"seizures","NumberOfSeizures":"0","PointInTime":"LastClinic","TimeSince_or_TimeOfEvent":"Since"},"text":"seizures"} | {"attributes":{"CUI":"C0036572","CUIPhrase":"seizures","MonthDate":"12","NumberOfSeizures":"3","NumberOfTimePeriods":"1","TimePeriod":"Day","TimeSince_or_TimeOfEvent":"During"},"text":"seizures"}</x:v>
      </x:c>
      <x:c r="M75" s="35" t="str">
        <x:v>all six</x:v>
      </x:c>
      <x:c r="N75" s="35" t="str"/>
      <x:c r="O75" s="35" t="str">
        <x:v>docs/research/six_model_hard_slice_error_mode_examples_2026-08-06.md</x:v>
      </x:c>
      <x:c r="P75" s="35" t="str">
        <x:v>experiments/six_model_hard_slice_error_mode_examples_20260806.json</x:v>
      </x:c>
    </x:row>
    <x:row r="76" ht="66" customHeight="1">
      <x:c r="A76" s="34" t="str">
        <x:v>ExECTv2</x:v>
      </x:c>
      <x:c r="B76" s="34" t="str">
        <x:v>seizure_frequency_llm_with_rules</x:v>
      </x:c>
      <x:c r="C76" s="34" t="str">
        <x:v>llm_with_rules</x:v>
      </x:c>
      <x:c r="D76" s="34" t="str">
        <x:v>family unit keys</x:v>
      </x:c>
      <x:c r="E76" s="34" t="str">
        <x:v>extra_states_only</x:v>
      </x:c>
      <x:c r="F76" s="34" t="str">
        <x:v>EA0176</x:v>
      </x:c>
      <x:c r="G76" s="34" t="str">
        <x:v>GPT-4.1-mini</x:v>
      </x:c>
      <x:c r="H76" s="35" t="str">
        <x:v>(('cui', 'C1299590'), 'seizure-free')</x:v>
      </x:c>
      <x:c r="I76" s="35" t="str">
        <x:v>(('cui', 'C1299590'), 'seizure-free') | (('cui', 'C0036572'), 'unknown')</x:v>
      </x:c>
      <x:c r="J76" s="35" t="str"/>
      <x:c r="K76" s="35" t="str"/>
      <x:c r="L76" s="35" t="str">
        <x:v>{"attributes":{"CUI":"C1299590","CUIPhrase":"seizure free","NumberOfSeizures":"0","TimeSince_or_TimeOfEvent":"Since"},"text":"seizure free"} | {"attributes":{"CUI":"C0036572","CUIPhrase":"seizures","FrequencyChange":"Increased"},"text":"seizures"}</x:v>
      </x:c>
      <x:c r="M76" s="35" t="str">
        <x:v>all six</x:v>
      </x:c>
      <x:c r="N76" s="35" t="str"/>
      <x:c r="O76" s="35" t="str">
        <x:v>docs/research/six_model_hard_slice_error_mode_examples_2026-08-06.md</x:v>
      </x:c>
      <x:c r="P76" s="35" t="str">
        <x:v>experiments/six_model_hard_slice_error_mode_examples_20260806.json</x:v>
      </x:c>
    </x:row>
    <x:row r="77" ht="66" customHeight="1">
      <x:c r="A77" s="34" t="str">
        <x:v>ExECTv2</x:v>
      </x:c>
      <x:c r="B77" s="34" t="str">
        <x:v>seizure_frequency_llm_with_rules</x:v>
      </x:c>
      <x:c r="C77" s="34" t="str">
        <x:v>llm_with_rules</x:v>
      </x:c>
      <x:c r="D77" s="34" t="str">
        <x:v>family unit keys</x:v>
      </x:c>
      <x:c r="E77" s="34" t="str">
        <x:v>missed_all_sf</x:v>
      </x:c>
      <x:c r="F77" s="34" t="str">
        <x:v>EA0176</x:v>
      </x:c>
      <x:c r="G77" s="34" t="str">
        <x:v>GPT-5.6 Sol</x:v>
      </x:c>
      <x:c r="H77" s="35" t="str">
        <x:v>(('cui', 'C1299590'), 'seizure-free')</x:v>
      </x:c>
      <x:c r="I77" s="35" t="str"/>
      <x:c r="J77" s="35" t="str"/>
      <x:c r="K77" s="35" t="str"/>
      <x:c r="L77" s="35" t="str"/>
      <x:c r="M77" s="35" t="str">
        <x:v>all six</x:v>
      </x:c>
      <x:c r="N77" s="35" t="str"/>
      <x:c r="O77" s="35" t="str">
        <x:v>docs/research/six_model_hard_slice_error_mode_examples_2026-08-06.md</x:v>
      </x:c>
      <x:c r="P77" s="35" t="str">
        <x:v>experiments/six_model_hard_slice_error_mode_examples_20260806.json</x:v>
      </x:c>
    </x:row>
    <x:row r="78" ht="66" customHeight="1">
      <x:c r="A78" s="34" t="str">
        <x:v>ExECTv2</x:v>
      </x:c>
      <x:c r="B78" s="34" t="str">
        <x:v>seizure_frequency_llm_with_rules</x:v>
      </x:c>
      <x:c r="C78" s="34" t="str">
        <x:v>llm_with_rules</x:v>
      </x:c>
      <x:c r="D78" s="34" t="str">
        <x:v>family unit keys</x:v>
      </x:c>
      <x:c r="E78" s="34" t="str">
        <x:v>missed_all_sf</x:v>
      </x:c>
      <x:c r="F78" s="34" t="str">
        <x:v>EA0139</x:v>
      </x:c>
      <x:c r="G78" s="34" t="str">
        <x:v>GPT-4.1-mini</x:v>
      </x:c>
      <x:c r="H78" s="35" t="str">
        <x:v>(('cui', 'C0494475'), 'active-rate')</x:v>
      </x:c>
      <x:c r="I78" s="35" t="str"/>
      <x:c r="J78" s="35" t="str"/>
      <x:c r="K78" s="35" t="str"/>
      <x:c r="L78" s="35" t="str"/>
      <x:c r="M78" s="35" t="str">
        <x:v>all six</x:v>
      </x:c>
      <x:c r="N78" s="35" t="str"/>
      <x:c r="O78" s="35" t="str">
        <x:v>docs/research/six_model_hard_slice_error_mode_examples_2026-08-06.md</x:v>
      </x:c>
      <x:c r="P78" s="35" t="str">
        <x:v>experiments/six_model_hard_slice_error_mode_examples_20260806.json</x:v>
      </x:c>
    </x:row>
    <x:row r="79" ht="66" customHeight="1">
      <x:c r="A79" s="34" t="str">
        <x:v>ExECTv2</x:v>
      </x:c>
      <x:c r="B79" s="34" t="str">
        <x:v>seizure_frequency_llm_with_rules</x:v>
      </x:c>
      <x:c r="C79" s="34" t="str">
        <x:v>llm_with_rules</x:v>
      </x:c>
      <x:c r="D79" s="34" t="str">
        <x:v>family unit keys</x:v>
      </x:c>
      <x:c r="E79" s="34" t="str">
        <x:v>missed_states_only</x:v>
      </x:c>
      <x:c r="F79" s="34" t="str">
        <x:v>EA0022</x:v>
      </x:c>
      <x:c r="G79" s="34" t="str">
        <x:v>GPT-5.6 Sol</x:v>
      </x:c>
      <x:c r="H79" s="35" t="str">
        <x:v>(('cui', 'C0751495'), 'seizure-free') | (('cui', 'C0036572'), 'unknown')</x:v>
      </x:c>
      <x:c r="I79" s="35" t="str">
        <x:v>(('cui', 'C0751495'), 'seizure-free')</x:v>
      </x:c>
      <x:c r="J79" s="35" t="str"/>
      <x:c r="K79" s="35" t="str"/>
      <x:c r="L79" s="35" t="str">
        <x:v>{"attributes":{"CUI":"C0751495","CUIPhrase":"focal seizures","FrequencyChange":"Infrequent","NumberOfSeizures":"0","PointInTime":"DrugChange"},"text":"focal seizures"}</x:v>
      </x:c>
      <x:c r="M79" s="35" t="str">
        <x:v>all six</x:v>
      </x:c>
      <x:c r="N79" s="35" t="str"/>
      <x:c r="O79" s="35" t="str">
        <x:v>docs/research/six_model_hard_slice_error_mode_examples_2026-08-06.md</x:v>
      </x:c>
      <x:c r="P79" s="35" t="str">
        <x:v>experiments/six_model_hard_slice_error_mode_examples_20260806.json</x:v>
      </x:c>
    </x:row>
    <x:row r="80" ht="66" customHeight="1">
      <x:c r="A80" s="34" t="str">
        <x:v>ExECTv2</x:v>
      </x:c>
      <x:c r="B80" s="34" t="str">
        <x:v>seizure_frequency_llm_with_rules</x:v>
      </x:c>
      <x:c r="C80" s="34" t="str">
        <x:v>llm_with_rules</x:v>
      </x:c>
      <x:c r="D80" s="34" t="str">
        <x:v>family unit keys</x:v>
      </x:c>
      <x:c r="E80" s="34" t="str">
        <x:v>missed_states_only</x:v>
      </x:c>
      <x:c r="F80" s="34" t="str">
        <x:v>EA0025</x:v>
      </x:c>
      <x:c r="G80" s="34" t="str">
        <x:v>GPT-5.6 Sol</x:v>
      </x:c>
      <x:c r="H80" s="35" t="str">
        <x:v>(('cui', 'C0494475'), 'active-rate') | (('cui', 'C0027066'), 'unknown')</x:v>
      </x:c>
      <x:c r="I80" s="35" t="str">
        <x:v>(('cui', 'C0494475'), 'active-rate')</x:v>
      </x:c>
      <x:c r="J80" s="35" t="str"/>
      <x:c r="K80" s="35" t="str"/>
      <x:c r="L80" s="35" t="str">
        <x:v>{"attributes":{"CUI":"C0494475","CUIPhrase":"generalised tonic clonic seizures","LowerNumberOfSeizures":"3","NumberOfTimePeriods":"1","TimePeriod":"Week","UpperNumberOfSeizures":"4"},"text":"generalised tonic clonic seizures"}</x:v>
      </x:c>
      <x:c r="M80" s="35" t="str">
        <x:v>all six</x:v>
      </x:c>
      <x:c r="N80" s="35" t="str"/>
      <x:c r="O80" s="35" t="str">
        <x:v>docs/research/six_model_hard_slice_error_mode_examples_2026-08-06.md</x:v>
      </x:c>
      <x:c r="P80" s="35" t="str">
        <x:v>experiments/six_model_hard_slice_error_mode_examples_20260806.json</x:v>
      </x:c>
    </x:row>
    <x:row r="81" ht="66" customHeight="1">
      <x:c r="A81" s="34" t="str">
        <x:v>ExECTv2</x:v>
      </x:c>
      <x:c r="B81" s="34" t="str">
        <x:v>seizure_frequency_llm_with_rules</x:v>
      </x:c>
      <x:c r="C81" s="34" t="str">
        <x:v>llm_with_rules</x:v>
      </x:c>
      <x:c r="D81" s="34" t="str">
        <x:v>family unit keys</x:v>
      </x:c>
      <x:c r="E81" s="34" t="str">
        <x:v>substituted_or_mixed</x:v>
      </x:c>
      <x:c r="F81" s="34" t="str">
        <x:v>EA0011</x:v>
      </x:c>
      <x:c r="G81" s="34" t="str">
        <x:v>GPT-5.6 Sol</x:v>
      </x:c>
      <x:c r="H81" s="35" t="str">
        <x:v>(('cui', 'C0270834'), 'active-rate') | (('cui', 'C0877017'), 'seizure-free') | (('cui', 'C0877017'), 'unknown') | (('cui', 'C0751494'), 'seizure-free')</x:v>
      </x:c>
      <x:c r="I81" s="35" t="str">
        <x:v>(('cui', 'C0270834'), 'active-rate') | (('cui', 'C0877017'), 'seizure-free') | (('cui', 'C0877017'), 'active-rate')</x:v>
      </x:c>
      <x:c r="J81" s="35" t="str"/>
      <x:c r="K81" s="35" t="str"/>
      <x:c r="L81" s="35" t="str">
        <x:v>{"attributes":{"CUI":"C0270834","CUIPhrase":"Focal seizures with altered awareness","NumberOfSeizures":"1","NumberOfTimePeriods":"2","TimePeriod":"Week"},"text":"Focal seizures with altered awareness"} | {"attributes":{"CUI":"C0877017","CUIPhrase":"Focal to bilateral convulsive seizures","MonthDate":"12","NumberOfSeizures":"0","TimeSince_or_TimeOfEvent":"Since","YearDate":"2017"},"text":"Focal to bilateral convulsive seizures"} | {"attributes":{"CUI":"C0877017","CUIPhrase":"focal to bilateral convulsive seizures","NumberOfSeizures":"2","TimeSince_or_TimeOfEvent":"During","YearDate":"2003"},"text":"focal to bilateral convulsive seizures"}</x:v>
      </x:c>
      <x:c r="M81" s="35" t="str">
        <x:v>all six</x:v>
      </x:c>
      <x:c r="N81" s="35" t="str"/>
      <x:c r="O81" s="35" t="str">
        <x:v>docs/research/six_model_hard_slice_error_mode_examples_2026-08-06.md</x:v>
      </x:c>
      <x:c r="P81" s="35" t="str">
        <x:v>experiments/six_model_hard_slice_error_mode_examples_20260806.json</x:v>
      </x:c>
    </x:row>
    <x:row r="82" ht="66" customHeight="1">
      <x:c r="A82" s="34" t="str">
        <x:v>ExECTv2</x:v>
      </x:c>
      <x:c r="B82" s="34" t="str">
        <x:v>seizure_frequency_llm_with_rules</x:v>
      </x:c>
      <x:c r="C82" s="34" t="str">
        <x:v>llm_with_rules</x:v>
      </x:c>
      <x:c r="D82" s="34" t="str">
        <x:v>family unit keys</x:v>
      </x:c>
      <x:c r="E82" s="34" t="str">
        <x:v>substituted_or_mixed</x:v>
      </x:c>
      <x:c r="F82" s="34" t="str">
        <x:v>EA0038</x:v>
      </x:c>
      <x:c r="G82" s="34" t="str">
        <x:v>GPT-5.6 Sol</x:v>
      </x:c>
      <x:c r="H82" s="35" t="str">
        <x:v>(('cui', 'C0494475'), 'active-rate')</x:v>
      </x:c>
      <x:c r="I82" s="35" t="str">
        <x:v>(('cui', 'C1299590'), 'seizure-free')</x:v>
      </x:c>
      <x:c r="J82" s="35" t="str"/>
      <x:c r="K82" s="35" t="str"/>
      <x:c r="L82" s="35" t="str">
        <x:v>{"attributes":{"CUI":"C1299590","CUIPhrase":"seizure free","NumberOfSeizures":"0","NumberOfTimePeriods":"3","TimePeriod":"Year"},"text":"seizure free"}</x:v>
      </x:c>
      <x:c r="M82" s="35" t="str">
        <x:v>all six</x:v>
      </x:c>
      <x:c r="N82" s="35" t="str"/>
      <x:c r="O82" s="35" t="str">
        <x:v>docs/research/six_model_hard_slice_error_mode_examples_2026-08-06.md</x:v>
      </x:c>
      <x:c r="P82" s="35" t="str">
        <x:v>experiments/six_model_hard_slice_error_mode_examples_20260806.json</x:v>
      </x:c>
    </x:row>
  </x:sheetData>
  <x:conditionalFormatting sqref="K2:K82">
    <x:cfRule type="containsText" dxfId="6" priority="1" operator="containsText" text="rescue"/>
    <x:cfRule type="containsText" dxfId="7" priority="2" operator="containsText" text="not rescued"/>
  </x:conditionalFormatting>
  <x:conditionalFormatting sqref="M2:M82">
    <x:cfRule type="containsText" dxfId="8" priority="3" operator="containsText" text="all six"/>
  </x:conditionalFormatting>
  <x:pageMargins left="0.7" right="0.7" top="0.75" bottom="0.75" header="0.3" footer="0.3"/>
  <x:tableParts count="1">
    <x:tablePart xmlns:r="http://schemas.openxmlformats.org/officeDocument/2006/relationships" r:id="R52032269c936407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52" hidden="0" customWidth="1"/>
    <x:col min="3" max="3" width="52" hidden="0" customWidth="1"/>
    <x:col min="4" max="4" width="58" hidden="0" customWidth="1"/>
  </x:cols>
  <x:sheetData>
    <x:row r="1">
      <x:c r="A1" s="38" t="str">
        <x:v>Definitions and source boundary</x:v>
      </x:c>
      <x:c r="B1" s="38"/>
      <x:c r="C1" s="38"/>
      <x:c r="D1" s="38"/>
    </x:row>
    <x:row r="3">
      <x:c r="A3" s="7" t="str">
        <x:v>Term</x:v>
      </x:c>
      <x:c r="B3" s="7" t="str">
        <x:v>Meaning</x:v>
      </x:c>
      <x:c r="C3" s="7" t="str">
        <x:v>Use</x:v>
      </x:c>
      <x:c r="D3" s="7" t="str">
        <x:v>Owner</x:v>
      </x:c>
    </x:row>
    <x:row r="4" ht="52" customHeight="1">
      <x:c r="A4" s="35" t="str">
        <x:v>Category example</x:v>
      </x:c>
      <x:c r="B4" s="35" t="str">
        <x:v>One purposively selected row for a gold-defined category.</x:v>
      </x:c>
      <x:c r="C4" s="35" t="str">
        <x:v>Shows what the task and three methods look like on a concrete row.</x:v>
      </x:c>
      <x:c r="D4" s="35" t="str">
        <x:v>category_cut_representative_examples_20260808.json</x:v>
      </x:c>
    </x:row>
    <x:row r="5" ht="52" customHeight="1">
      <x:c r="A5" s="35" t="str">
        <x:v>Error example</x:v>
      </x:c>
      <x:c r="B5" s="35" t="str">
        <x:v>One purposively selected record for an observed error mode.</x:v>
      </x:c>
      <x:c r="C5" s="35" t="str">
        <x:v>Shows a failure shape; does not estimate prevalence.</x:v>
      </x:c>
      <x:c r="D5" s="35" t="str">
        <x:v>six_model_hard_slice_error_mode_examples_20260806.json</x:v>
      </x:c>
    </x:row>
    <x:row r="6" ht="52" customHeight="1">
      <x:c r="A6" s="35" t="str">
        <x:v>Scored label</x:v>
      </x:c>
      <x:c r="B6" s="35" t="str">
        <x:v>The label evaluated after format handling.</x:v>
      </x:c>
      <x:c r="C6" s="35" t="str">
        <x:v>Use for Gan scored error modes.</x:v>
      </x:c>
      <x:c r="D6" s="35" t="str">
        <x:v>six_model_hard_slice_error_modes_20260806.json</x:v>
      </x:c>
    </x:row>
    <x:row r="7" ht="52" customHeight="1">
      <x:c r="A7" s="35" t="str">
        <x:v>Model boundary</x:v>
      </x:c>
      <x:c r="B7" s="35" t="str">
        <x:v>The model's label before later format handling.</x:v>
      </x:c>
      <x:c r="C7" s="35" t="str">
        <x:v>Separates model expression errors from scored outcomes.</x:v>
      </x:c>
      <x:c r="D7" s="35" t="str">
        <x:v>six_model_hard_slice_error_mode_examples_20260806.json</x:v>
      </x:c>
    </x:row>
    <x:row r="8" ht="52" customHeight="1">
      <x:c r="A8" s="35" t="str">
        <x:v>Consensus flag</x:v>
      </x:c>
      <x:c r="B8" s="35" t="str">
        <x:v>All six model conditions share the named imperfection on the selected row.</x:v>
      </x:c>
      <x:c r="C8" s="35" t="str">
        <x:v>A row-level flag, not a population estimate.</x:v>
      </x:c>
      <x:c r="D8" s="35" t="str">
        <x:v>six_model_hard_slice_error_mode_examples_20260806.json</x:v>
      </x:c>
    </x:row>
    <x:row r="9" ht="52" customHeight="1">
      <x:c r="A9" s="35" t="str">
        <x:v>Match / differs</x:v>
      </x:c>
      <x:c r="B9" s="35" t="str">
        <x:v>Whether the selected method output matches the row's category unit under the report's comparison rule.</x:v>
      </x:c>
      <x:c r="C9" s="35" t="str">
        <x:v>Use with the gold and full source excerpt.</x:v>
      </x:c>
      <x:c r="D9" s="35" t="str">
        <x:v>category_cut_representative_examples_20260808.json</x:v>
      </x:c>
    </x:row>
    <x:row r="10" ht="52" customHeight="1">
      <x:c r="A10" s="35" t="str">
        <x:v>Hybrid rescue</x:v>
      </x:c>
      <x:c r="B10" s="35" t="str">
        <x:v>The final hybrid label is correct where the scored model output was wrong.</x:v>
      </x:c>
      <x:c r="C10" s="35" t="str">
        <x:v>Shows a selected correction, not stage necessity.</x:v>
      </x:c>
      <x:c r="D10" s="35" t="str">
        <x:v>six_model_hard_slice_error_mode_examples_20260806.json</x:v>
      </x:c>
    </x:row>
  </x:sheetData>
  <x:mergeCells>
    <x:mergeCell ref="A1:D1"/>
  </x:mergeCells>
  <x:pageMargins left="0.7" right="0.7" top="0.75" bottom="0.75" header="0.3" footer="0.3"/>
  <x:tableParts count="1">
    <x:tablePart xmlns:r="http://schemas.openxmlformats.org/officeDocument/2006/relationships" r:id="R644fbdbd04374311"/>
  </x:tableParts>
</x:worksheet>
</file>